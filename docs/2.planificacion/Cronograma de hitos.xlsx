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06EF4DC-8520-4B34-84A7-DA4880E1A7FA}" xr6:coauthVersionLast="47" xr6:coauthVersionMax="47" xr10:uidLastSave="{00000000-0000-0000-0000-000000000000}"/>
  <bookViews>
    <workbookView xWindow="-120" yWindow="-120" windowWidth="29040" windowHeight="15720" xr2:uid="{6AA1BBD0-8380-494C-B792-5213DC27818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3" i="1" l="1"/>
  <c r="C23" i="1" s="1"/>
  <c r="B24" i="1" s="1"/>
  <c r="C24" i="1" s="1"/>
  <c r="G23" i="1"/>
  <c r="C22" i="1"/>
  <c r="F23" i="1"/>
  <c r="F24" i="1" s="1"/>
  <c r="G22" i="1"/>
  <c r="F25" i="1" l="1"/>
  <c r="G24" i="1"/>
  <c r="B25" i="1"/>
  <c r="C25" i="1" s="1"/>
  <c r="B26" i="1" s="1"/>
  <c r="C26" i="1" s="1"/>
  <c r="E22" i="1"/>
  <c r="E23" i="1"/>
  <c r="F26" i="1" l="1"/>
  <c r="G26" i="1" s="1"/>
  <c r="G25" i="1"/>
  <c r="E25" i="1"/>
  <c r="B27" i="1"/>
  <c r="C27" i="1" s="1"/>
  <c r="E26" i="1"/>
  <c r="E24" i="1"/>
  <c r="F27" i="1" l="1"/>
  <c r="E27" i="1"/>
  <c r="B28" i="1"/>
  <c r="C28" i="1" s="1"/>
  <c r="F28" i="1" l="1"/>
  <c r="G27" i="1"/>
  <c r="E28" i="1"/>
  <c r="B29" i="1"/>
  <c r="C29" i="1" s="1"/>
  <c r="F29" i="1" l="1"/>
  <c r="G29" i="1"/>
  <c r="G28" i="1"/>
  <c r="E29" i="1"/>
  <c r="B30" i="1"/>
  <c r="F30" i="1" l="1"/>
  <c r="G30" i="1"/>
  <c r="C30" i="1"/>
  <c r="B31" i="1" s="1"/>
  <c r="C31" i="1" s="1"/>
  <c r="F31" i="1" l="1"/>
  <c r="G31" i="1"/>
  <c r="E31" i="1"/>
  <c r="B32" i="1"/>
  <c r="C32" i="1" s="1"/>
  <c r="E30" i="1"/>
  <c r="F32" i="1" l="1"/>
  <c r="G32" i="1"/>
  <c r="E32" i="1"/>
  <c r="F33" i="1" l="1"/>
  <c r="G33" i="1"/>
  <c r="B33" i="1"/>
  <c r="C33" i="1" s="1"/>
  <c r="B34" i="1" s="1"/>
  <c r="C34" i="1" s="1"/>
  <c r="B35" i="1" s="1"/>
  <c r="F34" i="1" l="1"/>
  <c r="G34" i="1"/>
  <c r="E33" i="1"/>
  <c r="C35" i="1"/>
  <c r="E34" i="1"/>
  <c r="F35" i="1" l="1"/>
  <c r="G35" i="1"/>
  <c r="B36" i="1"/>
  <c r="B43" i="1"/>
  <c r="B39" i="1"/>
  <c r="E35" i="1"/>
  <c r="F36" i="1" l="1"/>
  <c r="G36" i="1" s="1"/>
  <c r="C36" i="1"/>
  <c r="B37" i="1" s="1"/>
  <c r="F37" i="1" l="1"/>
  <c r="G37" i="1"/>
  <c r="C37" i="1"/>
  <c r="E37" i="1"/>
  <c r="E36" i="1"/>
  <c r="F38" i="1" l="1"/>
  <c r="F39" i="1" s="1"/>
  <c r="G38" i="1"/>
  <c r="B38" i="1"/>
  <c r="F40" i="1" l="1"/>
  <c r="G40" i="1" s="1"/>
  <c r="G39" i="1"/>
  <c r="C38" i="1"/>
  <c r="E38" i="1"/>
  <c r="F41" i="1" l="1"/>
  <c r="G41" i="1"/>
  <c r="E39" i="1"/>
  <c r="C39" i="1"/>
  <c r="B40" i="1" s="1"/>
  <c r="F42" i="1" l="1"/>
  <c r="F43" i="1" s="1"/>
  <c r="C40" i="1"/>
  <c r="E40" i="1"/>
  <c r="G42" i="1" l="1"/>
  <c r="F44" i="1"/>
  <c r="G44" i="1"/>
  <c r="G43" i="1"/>
  <c r="B41" i="1"/>
  <c r="F45" i="1" l="1"/>
  <c r="G45" i="1" s="1"/>
  <c r="C41" i="1"/>
  <c r="B42" i="1" s="1"/>
  <c r="E41" i="1"/>
  <c r="F46" i="1" l="1"/>
  <c r="G46" i="1"/>
  <c r="E42" i="1"/>
  <c r="C42" i="1"/>
  <c r="F47" i="1" l="1"/>
  <c r="G47" i="1"/>
  <c r="C43" i="1"/>
  <c r="E43" i="1"/>
  <c r="F48" i="1" l="1"/>
  <c r="G48" i="1"/>
  <c r="B44" i="1"/>
  <c r="F49" i="1" l="1"/>
  <c r="G49" i="1"/>
  <c r="E44" i="1"/>
  <c r="C44" i="1"/>
  <c r="B45" i="1" s="1"/>
  <c r="F50" i="1" l="1"/>
  <c r="G50" i="1"/>
  <c r="E45" i="1"/>
  <c r="C45" i="1"/>
  <c r="B46" i="1" s="1"/>
  <c r="F51" i="1" l="1"/>
  <c r="C46" i="1"/>
  <c r="B47" i="1" s="1"/>
  <c r="E46" i="1"/>
  <c r="F52" i="1" l="1"/>
  <c r="G51" i="1"/>
  <c r="C47" i="1"/>
  <c r="B48" i="1" s="1"/>
  <c r="F53" i="1" l="1"/>
  <c r="G52" i="1"/>
  <c r="E47" i="1"/>
  <c r="C48" i="1"/>
  <c r="E48" i="1"/>
  <c r="F54" i="1" l="1"/>
  <c r="G53" i="1"/>
  <c r="B49" i="1"/>
  <c r="F55" i="1" l="1"/>
  <c r="G54" i="1"/>
  <c r="C49" i="1"/>
  <c r="E49" i="1" s="1"/>
  <c r="F56" i="1" l="1"/>
  <c r="G55" i="1"/>
  <c r="B50" i="1"/>
  <c r="G57" i="1" l="1"/>
  <c r="F57" i="1"/>
  <c r="G56" i="1"/>
  <c r="E50" i="1"/>
  <c r="C50" i="1"/>
  <c r="B51" i="1" s="1"/>
  <c r="G58" i="1" l="1"/>
  <c r="F58" i="1"/>
  <c r="E51" i="1"/>
  <c r="C51" i="1"/>
  <c r="B52" i="1" s="1"/>
  <c r="F59" i="1" l="1"/>
  <c r="C52" i="1"/>
  <c r="B53" i="1" s="1"/>
  <c r="E52" i="1"/>
  <c r="F60" i="1" l="1"/>
  <c r="G59" i="1"/>
  <c r="C53" i="1"/>
  <c r="B54" i="1" s="1"/>
  <c r="E53" i="1"/>
  <c r="G61" i="1" l="1"/>
  <c r="F61" i="1"/>
  <c r="G60" i="1"/>
  <c r="C54" i="1"/>
  <c r="B55" i="1" s="1"/>
  <c r="E54" i="1"/>
  <c r="F62" i="1" l="1"/>
  <c r="C55" i="1"/>
  <c r="B56" i="1" s="1"/>
  <c r="F63" i="1" l="1"/>
  <c r="G63" i="1" s="1"/>
  <c r="G62" i="1"/>
  <c r="E56" i="1"/>
  <c r="C56" i="1"/>
  <c r="B57" i="1" s="1"/>
  <c r="E55" i="1"/>
  <c r="C57" i="1" l="1"/>
  <c r="E57" i="1"/>
  <c r="B58" i="1" l="1"/>
  <c r="C58" i="1" l="1"/>
  <c r="E58" i="1"/>
  <c r="B59" i="1" l="1"/>
  <c r="E59" i="1" l="1"/>
  <c r="C59" i="1"/>
  <c r="B60" i="1" s="1"/>
  <c r="E60" i="1" l="1"/>
  <c r="C60" i="1"/>
  <c r="B61" i="1" s="1"/>
  <c r="C61" i="1" l="1"/>
  <c r="B62" i="1" s="1"/>
  <c r="C62" i="1" s="1"/>
  <c r="E61" i="1" l="1"/>
  <c r="E62" i="1"/>
  <c r="B63" i="1"/>
  <c r="C63" i="1" s="1"/>
  <c r="E63" i="1" s="1"/>
</calcChain>
</file>

<file path=xl/sharedStrings.xml><?xml version="1.0" encoding="utf-8"?>
<sst xmlns="http://schemas.openxmlformats.org/spreadsheetml/2006/main" count="56" uniqueCount="56">
  <si>
    <t>Tareas</t>
  </si>
  <si>
    <t>Fecha Inicio</t>
  </si>
  <si>
    <t>Fecha Fin</t>
  </si>
  <si>
    <t>Duracion</t>
  </si>
  <si>
    <t>Etiqueta</t>
  </si>
  <si>
    <t>PY Eje</t>
  </si>
  <si>
    <t>PY Tareas</t>
  </si>
  <si>
    <t>Hitos</t>
  </si>
  <si>
    <t>Fecha</t>
  </si>
  <si>
    <t>PY</t>
  </si>
  <si>
    <t>Sprint 1</t>
  </si>
  <si>
    <t>Sprint 2</t>
  </si>
  <si>
    <t>Sprint 3</t>
  </si>
  <si>
    <t>Sprint 4</t>
  </si>
  <si>
    <t>T-01.1</t>
  </si>
  <si>
    <t>T-01.2</t>
  </si>
  <si>
    <t>T-01.3</t>
  </si>
  <si>
    <t>T-02.1</t>
  </si>
  <si>
    <t>T-02.2</t>
  </si>
  <si>
    <t>T-02.3</t>
  </si>
  <si>
    <t>T-03.1</t>
  </si>
  <si>
    <t>T-03.2</t>
  </si>
  <si>
    <t>T-03.3</t>
  </si>
  <si>
    <t>T-04.1</t>
  </si>
  <si>
    <t>T-04.2</t>
  </si>
  <si>
    <t>T-04.3</t>
  </si>
  <si>
    <t>T-05.1</t>
  </si>
  <si>
    <t>T-05.2</t>
  </si>
  <si>
    <t>T-05.3</t>
  </si>
  <si>
    <t>T-06.1</t>
  </si>
  <si>
    <t>T-06.2</t>
  </si>
  <si>
    <t>T-06.3</t>
  </si>
  <si>
    <t>T-07.1</t>
  </si>
  <si>
    <t>T-07.2</t>
  </si>
  <si>
    <t>T-08.1</t>
  </si>
  <si>
    <t>T-08.2</t>
  </si>
  <si>
    <t>T-08.3</t>
  </si>
  <si>
    <t>T-09.1</t>
  </si>
  <si>
    <t>T-09.2</t>
  </si>
  <si>
    <t>T-10.1</t>
  </si>
  <si>
    <t>T-10.2</t>
  </si>
  <si>
    <t>T-01.4</t>
  </si>
  <si>
    <t>T-01.5</t>
  </si>
  <si>
    <t>T-02.4</t>
  </si>
  <si>
    <t>T-03.4</t>
  </si>
  <si>
    <t>T-04.4</t>
  </si>
  <si>
    <t>T-05.4</t>
  </si>
  <si>
    <t>T-07.3</t>
  </si>
  <si>
    <t>T-07.4</t>
  </si>
  <si>
    <t>T-07.5</t>
  </si>
  <si>
    <t>T-07.6</t>
  </si>
  <si>
    <t>T-07.7</t>
  </si>
  <si>
    <t>T-11.1</t>
  </si>
  <si>
    <t>T-11.2</t>
  </si>
  <si>
    <t>T-11.3</t>
  </si>
  <si>
    <t>T-11.4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</si>
</sst>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B8CCE4"/>
      </left>
      <right style="medium">
        <color rgb="FFB8CCE4"/>
      </right>
      <top style="medium">
        <color rgb="FF000000"/>
      </top>
      <bottom style="medium">
        <color rgb="FFB8CCE4"/>
      </bottom>
      <diagonal/>
    </border>
    <border>
      <left style="medium">
        <color rgb="FFB8CCE4"/>
      </left>
      <right style="medium">
        <color rgb="FFB8CCE4"/>
      </right>
      <top/>
      <bottom style="medium">
        <color rgb="FFB8CCE4"/>
      </bottom>
      <diagonal/>
    </border>
    <border>
      <left style="medium">
        <color rgb="FFB8CCE4"/>
      </left>
      <right style="medium">
        <color rgb="FFB8CCE4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</cellXfs>
  <cellStyles count="1">
    <cellStyle name="Normal" xfId="0" builtinId="0"/>
  </cellStyles>
  <dxfs count="3"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1406461244410867E-2"/>
          <c:y val="2.2819667540458253E-2"/>
          <c:w val="0.91051243889459199"/>
          <c:h val="0.92871143106145815"/>
        </c:manualLayout>
      </c:layout>
      <c:scatterChart>
        <c:scatterStyle val="lineMarker"/>
        <c:varyColors val="0"/>
        <c:ser>
          <c:idx val="0"/>
          <c:order val="0"/>
          <c:tx>
            <c:v>Tareas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84F9A11-485A-41A9-B7AD-A5BED8432402}" type="CELLRANGE">
                      <a:rPr lang="en-US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39B6-4C2C-80EC-6455EB41EDE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1E5C36C-6D6D-4210-8DC6-E97599979F68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9B6-4C2C-80EC-6455EB41EDE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71368A1-6B7B-45C1-9353-908B67BD5BCF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9B6-4C2C-80EC-6455EB41EDE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40EA7A4-9378-4E0E-B61F-F2A51CC48F6E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9B6-4C2C-80EC-6455EB41EDE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5BE722F-C44D-46BB-A7F3-218DF85D13BC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9B6-4C2C-80EC-6455EB41EDE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20CBD92-C76C-437B-A91B-89C291BB875E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9B6-4C2C-80EC-6455EB41EDE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BBA2FB7-E183-42E3-983A-1BCFEA3ADFB4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9B6-4C2C-80EC-6455EB41EDE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87A92D6-A862-4FDC-BBFF-8E3626845233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9B6-4C2C-80EC-6455EB41EDE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5A2ED13-AE05-4E22-B739-33A2C6C1AA14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9B6-4C2C-80EC-6455EB41EDE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EB24D14-C5FC-49D0-95D6-6EDC5C44AFAE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9B6-4C2C-80EC-6455EB41EDE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B7D037A-980A-42F6-A2EE-15B4E6316A16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9B6-4C2C-80EC-6455EB41EDE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11B2B1B-6BD7-4DAC-9F16-17EF828AF891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9B6-4C2C-80EC-6455EB41EDE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20CC172-75E5-464F-B6C5-F25281AC69D9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9B6-4C2C-80EC-6455EB41EDE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6797EB3-4170-40AD-BCF3-D745CDB83F6F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9B6-4C2C-80EC-6455EB41EDE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C3D302E-F230-49B8-9372-237AB58A7E0D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9B6-4C2C-80EC-6455EB41EDE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B9F51A0-30C0-4752-B1E9-C136626ECCB4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9B6-4C2C-80EC-6455EB41EDE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89E5E71-1B47-4CE7-AA25-D2AF06251CAF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9B6-4C2C-80EC-6455EB41EDE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C624533-E71F-4CED-A06B-9BCDF3810EDE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9B6-4C2C-80EC-6455EB41EDE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1E251E8-9D36-482B-A7A6-26C5BC93ACAA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9B6-4C2C-80EC-6455EB41EDE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492B182-2FC5-4914-A75A-8FC7B76F8BEE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9B6-4C2C-80EC-6455EB41EDE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125349F-C28B-4A9A-9525-3F259404A0E4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9B6-4C2C-80EC-6455EB41EDE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83C27C3-E3BE-40EA-ACCC-DF792EA29498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39B6-4C2C-80EC-6455EB41EDE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F9C7100-292A-4436-858C-E4D7DC810657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39B6-4C2C-80EC-6455EB41EDE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154E842-EED8-4F30-8BCB-D784D89D44FD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39B6-4C2C-80EC-6455EB41EDE3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9455BFC-386D-4181-B0C7-1570222B01E5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39B6-4C2C-80EC-6455EB41EDE3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CD4DDAF6-67C8-4765-8F50-FF40167AF970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9B6-4C2C-80EC-6455EB41EDE3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3A7D2DE-C831-4CD8-B487-8E6BA36A78A6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9B6-4C2C-80EC-6455EB41EDE3}"/>
                </c:ext>
              </c:extLst>
            </c:dLbl>
            <c:dLbl>
              <c:idx val="27"/>
              <c:tx>
                <c:rich>
                  <a:bodyPr/>
                  <a:lstStyle/>
                  <a:p>
                    <a:fld id="{A2BB4294-B04A-475C-A711-52FCB00D937D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39B6-4C2C-80EC-6455EB41EDE3}"/>
                </c:ext>
              </c:extLst>
            </c:dLbl>
            <c:dLbl>
              <c:idx val="28"/>
              <c:tx>
                <c:rich>
                  <a:bodyPr/>
                  <a:lstStyle/>
                  <a:p>
                    <a:fld id="{F6D6BA6A-D967-487C-AF1B-53CC00374049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C18-4D34-A5EA-9104BDA36E54}"/>
                </c:ext>
              </c:extLst>
            </c:dLbl>
            <c:dLbl>
              <c:idx val="29"/>
              <c:tx>
                <c:rich>
                  <a:bodyPr/>
                  <a:lstStyle/>
                  <a:p>
                    <a:fld id="{4D110A3E-C701-467B-8CEC-EE704BFAC99B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C18-4D34-A5EA-9104BDA36E54}"/>
                </c:ext>
              </c:extLst>
            </c:dLbl>
            <c:dLbl>
              <c:idx val="30"/>
              <c:tx>
                <c:rich>
                  <a:bodyPr/>
                  <a:lstStyle/>
                  <a:p>
                    <a:fld id="{792D8C30-5328-4823-95C4-A21CEC0F1A7D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C18-4D34-A5EA-9104BDA36E54}"/>
                </c:ext>
              </c:extLst>
            </c:dLbl>
            <c:dLbl>
              <c:idx val="31"/>
              <c:tx>
                <c:rich>
                  <a:bodyPr/>
                  <a:lstStyle/>
                  <a:p>
                    <a:fld id="{05C3DB4F-673B-4CA2-ACAB-2A6908631D8E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C18-4D34-A5EA-9104BDA36E54}"/>
                </c:ext>
              </c:extLst>
            </c:dLbl>
            <c:dLbl>
              <c:idx val="32"/>
              <c:tx>
                <c:rich>
                  <a:bodyPr/>
                  <a:lstStyle/>
                  <a:p>
                    <a:fld id="{636E5CEF-F93E-4394-BE0F-B79EDBE705F9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C18-4D34-A5EA-9104BDA36E54}"/>
                </c:ext>
              </c:extLst>
            </c:dLbl>
            <c:dLbl>
              <c:idx val="33"/>
              <c:tx>
                <c:rich>
                  <a:bodyPr/>
                  <a:lstStyle/>
                  <a:p>
                    <a:fld id="{3D8787FA-3D78-4E44-B3C3-B2D09B8E45FA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C18-4D34-A5EA-9104BDA36E54}"/>
                </c:ext>
              </c:extLst>
            </c:dLbl>
            <c:dLbl>
              <c:idx val="34"/>
              <c:tx>
                <c:rich>
                  <a:bodyPr/>
                  <a:lstStyle/>
                  <a:p>
                    <a:fld id="{B256B47C-4477-462B-B5CA-A54C1F0C2821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C18-4D34-A5EA-9104BDA36E54}"/>
                </c:ext>
              </c:extLst>
            </c:dLbl>
            <c:dLbl>
              <c:idx val="35"/>
              <c:tx>
                <c:rich>
                  <a:bodyPr/>
                  <a:lstStyle/>
                  <a:p>
                    <a:fld id="{0A8072DD-DFE8-4B4C-B28E-DC3B8EC934D6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C18-4D34-A5EA-9104BDA36E54}"/>
                </c:ext>
              </c:extLst>
            </c:dLbl>
            <c:dLbl>
              <c:idx val="36"/>
              <c:tx>
                <c:rich>
                  <a:bodyPr/>
                  <a:lstStyle/>
                  <a:p>
                    <a:fld id="{2A4DEEAA-8323-47F4-ABA5-C2C62EB1A83C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C18-4D34-A5EA-9104BDA36E54}"/>
                </c:ext>
              </c:extLst>
            </c:dLbl>
            <c:dLbl>
              <c:idx val="37"/>
              <c:tx>
                <c:rich>
                  <a:bodyPr/>
                  <a:lstStyle/>
                  <a:p>
                    <a:fld id="{BDFFC225-6779-4E4D-B2C5-8F7B1A058B7B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C18-4D34-A5EA-9104BDA36E54}"/>
                </c:ext>
              </c:extLst>
            </c:dLbl>
            <c:dLbl>
              <c:idx val="38"/>
              <c:tx>
                <c:rich>
                  <a:bodyPr/>
                  <a:lstStyle/>
                  <a:p>
                    <a:fld id="{0020F3FD-A74F-4EAD-B9B2-18F0D1157884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C18-4D34-A5EA-9104BDA36E54}"/>
                </c:ext>
              </c:extLst>
            </c:dLbl>
            <c:dLbl>
              <c:idx val="39"/>
              <c:tx>
                <c:rich>
                  <a:bodyPr/>
                  <a:lstStyle/>
                  <a:p>
                    <a:fld id="{7E2ECED1-83E2-475A-B1B0-326F21E6AA4F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C18-4D34-A5EA-9104BDA36E54}"/>
                </c:ext>
              </c:extLst>
            </c:dLbl>
            <c:dLbl>
              <c:idx val="40"/>
              <c:tx>
                <c:rich>
                  <a:bodyPr/>
                  <a:lstStyle/>
                  <a:p>
                    <a:fld id="{790E3D61-E961-438A-9AC5-4AC3E38A9E52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C18-4D34-A5EA-9104BDA36E54}"/>
                </c:ext>
              </c:extLst>
            </c:dLbl>
            <c:dLbl>
              <c:idx val="41"/>
              <c:tx>
                <c:rich>
                  <a:bodyPr/>
                  <a:lstStyle/>
                  <a:p>
                    <a:fld id="{8B5C9CC4-EA6C-49D0-BF12-E6CEC68BD1D7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C18-4D34-A5EA-9104BDA36E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x"/>
            <c:errBarType val="plus"/>
            <c:errValType val="cust"/>
            <c:noEndCap val="1"/>
            <c:plus>
              <c:numRef>
                <c:f>Hoja1!$D$22:$D$63</c:f>
                <c:numCache>
                  <c:formatCode>General</c:formatCode>
                  <c:ptCount val="42"/>
                  <c:pt idx="0">
                    <c:v>2</c:v>
                  </c:pt>
                  <c:pt idx="1">
                    <c:v>3</c:v>
                  </c:pt>
                  <c:pt idx="2">
                    <c:v>2</c:v>
                  </c:pt>
                  <c:pt idx="3">
                    <c:v>3</c:v>
                  </c:pt>
                  <c:pt idx="4">
                    <c:v>2</c:v>
                  </c:pt>
                  <c:pt idx="5">
                    <c:v>2</c:v>
                  </c:pt>
                  <c:pt idx="6">
                    <c:v>3</c:v>
                  </c:pt>
                  <c:pt idx="7">
                    <c:v>3</c:v>
                  </c:pt>
                  <c:pt idx="8">
                    <c:v>2</c:v>
                  </c:pt>
                  <c:pt idx="9">
                    <c:v>1</c:v>
                  </c:pt>
                  <c:pt idx="10">
                    <c:v>2</c:v>
                  </c:pt>
                  <c:pt idx="11">
                    <c:v>2</c:v>
                  </c:pt>
                  <c:pt idx="12">
                    <c:v>1</c:v>
                  </c:pt>
                  <c:pt idx="13">
                    <c:v>2</c:v>
                  </c:pt>
                  <c:pt idx="14">
                    <c:v>2</c:v>
                  </c:pt>
                  <c:pt idx="15">
                    <c:v>3</c:v>
                  </c:pt>
                  <c:pt idx="16">
                    <c:v>2</c:v>
                  </c:pt>
                  <c:pt idx="17">
                    <c:v>5</c:v>
                  </c:pt>
                  <c:pt idx="18">
                    <c:v>3</c:v>
                  </c:pt>
                  <c:pt idx="19">
                    <c:v>4</c:v>
                  </c:pt>
                  <c:pt idx="20">
                    <c:v>2</c:v>
                  </c:pt>
                  <c:pt idx="21">
                    <c:v>3</c:v>
                  </c:pt>
                  <c:pt idx="22">
                    <c:v>2</c:v>
                  </c:pt>
                  <c:pt idx="23">
                    <c:v>3</c:v>
                  </c:pt>
                  <c:pt idx="24">
                    <c:v>5</c:v>
                  </c:pt>
                  <c:pt idx="25">
                    <c:v>8</c:v>
                  </c:pt>
                  <c:pt idx="26">
                    <c:v>3</c:v>
                  </c:pt>
                  <c:pt idx="27">
                    <c:v>3</c:v>
                  </c:pt>
                  <c:pt idx="28">
                    <c:v>2</c:v>
                  </c:pt>
                  <c:pt idx="29">
                    <c:v>2</c:v>
                  </c:pt>
                  <c:pt idx="30">
                    <c:v>3</c:v>
                  </c:pt>
                  <c:pt idx="31">
                    <c:v>2</c:v>
                  </c:pt>
                  <c:pt idx="32">
                    <c:v>5</c:v>
                  </c:pt>
                  <c:pt idx="33">
                    <c:v>2</c:v>
                  </c:pt>
                  <c:pt idx="34">
                    <c:v>2</c:v>
                  </c:pt>
                  <c:pt idx="35">
                    <c:v>3</c:v>
                  </c:pt>
                  <c:pt idx="36">
                    <c:v>2</c:v>
                  </c:pt>
                  <c:pt idx="37">
                    <c:v>3</c:v>
                  </c:pt>
                  <c:pt idx="38">
                    <c:v>3</c:v>
                  </c:pt>
                  <c:pt idx="39">
                    <c:v>3</c:v>
                  </c:pt>
                  <c:pt idx="40">
                    <c:v>3</c:v>
                  </c:pt>
                  <c:pt idx="41">
                    <c:v>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27000" cap="flat" cmpd="sng" algn="ctr">
                <a:solidFill>
                  <a:schemeClr val="accent1"/>
                </a:solidFill>
                <a:round/>
              </a:ln>
              <a:effectLst/>
            </c:spPr>
          </c:errBars>
          <c:errBars>
            <c:errDir val="y"/>
            <c:errBarType val="minus"/>
            <c:errValType val="cust"/>
            <c:noEndCap val="1"/>
            <c:plus>
              <c:numLit>
                <c:formatCode>General</c:formatCode>
                <c:ptCount val="1"/>
                <c:pt idx="0">
                  <c:v>1</c:v>
                </c:pt>
              </c:numLit>
            </c:plus>
            <c:minus>
              <c:numRef>
                <c:f>Hoja1!$G$22:$G$35</c:f>
                <c:numCache>
                  <c:formatCode>General</c:formatCode>
                  <c:ptCount val="14"/>
                  <c:pt idx="0">
                    <c:v>-25</c:v>
                  </c:pt>
                  <c:pt idx="1">
                    <c:v>20</c:v>
                  </c:pt>
                  <c:pt idx="2">
                    <c:v>20</c:v>
                  </c:pt>
                  <c:pt idx="3">
                    <c:v>20</c:v>
                  </c:pt>
                  <c:pt idx="4">
                    <c:v>20</c:v>
                  </c:pt>
                  <c:pt idx="5">
                    <c:v>20</c:v>
                  </c:pt>
                  <c:pt idx="6">
                    <c:v>20</c:v>
                  </c:pt>
                  <c:pt idx="7">
                    <c:v>20</c:v>
                  </c:pt>
                  <c:pt idx="8">
                    <c:v>20</c:v>
                  </c:pt>
                  <c:pt idx="9">
                    <c:v>20</c:v>
                  </c:pt>
                  <c:pt idx="10">
                    <c:v>20</c:v>
                  </c:pt>
                  <c:pt idx="11">
                    <c:v>20</c:v>
                  </c:pt>
                  <c:pt idx="12">
                    <c:v>20</c:v>
                  </c:pt>
                  <c:pt idx="13">
                    <c:v>20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Hoja1!$B$22:$B$63</c:f>
              <c:numCache>
                <c:formatCode>m/d/yyyy</c:formatCode>
                <c:ptCount val="42"/>
                <c:pt idx="0">
                  <c:v>46119</c:v>
                </c:pt>
                <c:pt idx="1">
                  <c:v>46121</c:v>
                </c:pt>
                <c:pt idx="2">
                  <c:v>46124</c:v>
                </c:pt>
                <c:pt idx="3">
                  <c:v>46126</c:v>
                </c:pt>
                <c:pt idx="4">
                  <c:v>46129</c:v>
                </c:pt>
                <c:pt idx="5">
                  <c:v>46131</c:v>
                </c:pt>
                <c:pt idx="6">
                  <c:v>46133</c:v>
                </c:pt>
                <c:pt idx="7">
                  <c:v>46136</c:v>
                </c:pt>
                <c:pt idx="8">
                  <c:v>46139</c:v>
                </c:pt>
                <c:pt idx="9">
                  <c:v>46141</c:v>
                </c:pt>
                <c:pt idx="10">
                  <c:v>46142</c:v>
                </c:pt>
                <c:pt idx="11">
                  <c:v>46144</c:v>
                </c:pt>
                <c:pt idx="12">
                  <c:v>46146</c:v>
                </c:pt>
                <c:pt idx="13">
                  <c:v>46147</c:v>
                </c:pt>
                <c:pt idx="14">
                  <c:v>46149</c:v>
                </c:pt>
                <c:pt idx="15">
                  <c:v>46151</c:v>
                </c:pt>
                <c:pt idx="16">
                  <c:v>46154</c:v>
                </c:pt>
                <c:pt idx="17">
                  <c:v>46149</c:v>
                </c:pt>
                <c:pt idx="18">
                  <c:v>46154</c:v>
                </c:pt>
                <c:pt idx="19">
                  <c:v>46157</c:v>
                </c:pt>
                <c:pt idx="20">
                  <c:v>46161</c:v>
                </c:pt>
                <c:pt idx="21">
                  <c:v>46149</c:v>
                </c:pt>
                <c:pt idx="22">
                  <c:v>46152</c:v>
                </c:pt>
                <c:pt idx="23">
                  <c:v>46154</c:v>
                </c:pt>
                <c:pt idx="24">
                  <c:v>46157</c:v>
                </c:pt>
                <c:pt idx="25">
                  <c:v>46162</c:v>
                </c:pt>
                <c:pt idx="26">
                  <c:v>46170</c:v>
                </c:pt>
                <c:pt idx="27">
                  <c:v>46173</c:v>
                </c:pt>
                <c:pt idx="28">
                  <c:v>46176</c:v>
                </c:pt>
                <c:pt idx="29">
                  <c:v>46178</c:v>
                </c:pt>
                <c:pt idx="30">
                  <c:v>46180</c:v>
                </c:pt>
                <c:pt idx="31">
                  <c:v>46183</c:v>
                </c:pt>
                <c:pt idx="32">
                  <c:v>46185</c:v>
                </c:pt>
                <c:pt idx="33">
                  <c:v>46190</c:v>
                </c:pt>
                <c:pt idx="34">
                  <c:v>46192</c:v>
                </c:pt>
                <c:pt idx="35">
                  <c:v>46194</c:v>
                </c:pt>
                <c:pt idx="36">
                  <c:v>46197</c:v>
                </c:pt>
                <c:pt idx="37">
                  <c:v>46199</c:v>
                </c:pt>
                <c:pt idx="38">
                  <c:v>46202</c:v>
                </c:pt>
                <c:pt idx="39">
                  <c:v>46205</c:v>
                </c:pt>
                <c:pt idx="40">
                  <c:v>46208</c:v>
                </c:pt>
                <c:pt idx="41">
                  <c:v>46211</c:v>
                </c:pt>
              </c:numCache>
            </c:numRef>
          </c:xVal>
          <c:yVal>
            <c:numRef>
              <c:f>Hoja1!$F$22:$F$63</c:f>
              <c:numCache>
                <c:formatCode>General</c:formatCode>
                <c:ptCount val="42"/>
                <c:pt idx="0">
                  <c:v>-25</c:v>
                </c:pt>
                <c:pt idx="1">
                  <c:v>-45</c:v>
                </c:pt>
                <c:pt idx="2">
                  <c:v>-65</c:v>
                </c:pt>
                <c:pt idx="3">
                  <c:v>-85</c:v>
                </c:pt>
                <c:pt idx="4">
                  <c:v>-105</c:v>
                </c:pt>
                <c:pt idx="5">
                  <c:v>-125</c:v>
                </c:pt>
                <c:pt idx="6">
                  <c:v>-145</c:v>
                </c:pt>
                <c:pt idx="7">
                  <c:v>-165</c:v>
                </c:pt>
                <c:pt idx="8">
                  <c:v>-185</c:v>
                </c:pt>
                <c:pt idx="9">
                  <c:v>-205</c:v>
                </c:pt>
                <c:pt idx="10">
                  <c:v>-225</c:v>
                </c:pt>
                <c:pt idx="11">
                  <c:v>-245</c:v>
                </c:pt>
                <c:pt idx="12">
                  <c:v>-265</c:v>
                </c:pt>
                <c:pt idx="13">
                  <c:v>-285</c:v>
                </c:pt>
                <c:pt idx="14">
                  <c:v>-305</c:v>
                </c:pt>
                <c:pt idx="15">
                  <c:v>-325</c:v>
                </c:pt>
                <c:pt idx="16">
                  <c:v>-345</c:v>
                </c:pt>
                <c:pt idx="17">
                  <c:v>-365</c:v>
                </c:pt>
                <c:pt idx="18">
                  <c:v>-385</c:v>
                </c:pt>
                <c:pt idx="19">
                  <c:v>-405</c:v>
                </c:pt>
                <c:pt idx="20">
                  <c:v>-425</c:v>
                </c:pt>
                <c:pt idx="21">
                  <c:v>-445</c:v>
                </c:pt>
                <c:pt idx="22">
                  <c:v>-465</c:v>
                </c:pt>
                <c:pt idx="23">
                  <c:v>-485</c:v>
                </c:pt>
                <c:pt idx="24">
                  <c:v>-505</c:v>
                </c:pt>
                <c:pt idx="25">
                  <c:v>-525</c:v>
                </c:pt>
                <c:pt idx="26">
                  <c:v>-545</c:v>
                </c:pt>
                <c:pt idx="27">
                  <c:v>-565</c:v>
                </c:pt>
                <c:pt idx="28">
                  <c:v>-585</c:v>
                </c:pt>
                <c:pt idx="29">
                  <c:v>-605</c:v>
                </c:pt>
                <c:pt idx="30">
                  <c:v>-625</c:v>
                </c:pt>
                <c:pt idx="31">
                  <c:v>-645</c:v>
                </c:pt>
                <c:pt idx="32">
                  <c:v>-665</c:v>
                </c:pt>
                <c:pt idx="33">
                  <c:v>-685</c:v>
                </c:pt>
                <c:pt idx="34">
                  <c:v>-705</c:v>
                </c:pt>
                <c:pt idx="35">
                  <c:v>-725</c:v>
                </c:pt>
                <c:pt idx="36">
                  <c:v>-745</c:v>
                </c:pt>
                <c:pt idx="37">
                  <c:v>-765</c:v>
                </c:pt>
                <c:pt idx="38">
                  <c:v>-785</c:v>
                </c:pt>
                <c:pt idx="39">
                  <c:v>-805</c:v>
                </c:pt>
                <c:pt idx="40">
                  <c:v>-825</c:v>
                </c:pt>
                <c:pt idx="41">
                  <c:v>-845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Hoja1!$E$22:$E$63</c15:f>
                <c15:dlblRangeCache>
                  <c:ptCount val="42"/>
                  <c:pt idx="0">
                    <c:v>T-01.1/abr 7-abr 8</c:v>
                  </c:pt>
                  <c:pt idx="1">
                    <c:v>T-01.2/abr 9-abr 11</c:v>
                  </c:pt>
                  <c:pt idx="2">
                    <c:v>T-01.3/abr 12-abr 13</c:v>
                  </c:pt>
                  <c:pt idx="3">
                    <c:v>T-01.4/abr 14-abr 16</c:v>
                  </c:pt>
                  <c:pt idx="4">
                    <c:v>T-01.5/abr 17-abr 18</c:v>
                  </c:pt>
                  <c:pt idx="5">
                    <c:v>T-02.1/abr 19-abr 20</c:v>
                  </c:pt>
                  <c:pt idx="6">
                    <c:v>T-02.2/abr 21-abr 23</c:v>
                  </c:pt>
                  <c:pt idx="7">
                    <c:v>T-02.3/abr 24-abr 26</c:v>
                  </c:pt>
                  <c:pt idx="8">
                    <c:v>T-02.4/abr 27-abr 28</c:v>
                  </c:pt>
                  <c:pt idx="9">
                    <c:v>T-03.1/abr 29-abr 29</c:v>
                  </c:pt>
                  <c:pt idx="10">
                    <c:v>T-03.2/abr 30-may 1</c:v>
                  </c:pt>
                  <c:pt idx="11">
                    <c:v>T-03.3/may 2-may 3</c:v>
                  </c:pt>
                  <c:pt idx="12">
                    <c:v>T-03.4/may 4-may 4</c:v>
                  </c:pt>
                  <c:pt idx="13">
                    <c:v>T-04.1/may 5-may 6</c:v>
                  </c:pt>
                  <c:pt idx="14">
                    <c:v>T-04.2/may 7-may 8</c:v>
                  </c:pt>
                  <c:pt idx="15">
                    <c:v>T-04.3/may 9-may 11</c:v>
                  </c:pt>
                  <c:pt idx="16">
                    <c:v>T-04.4/may 12-may 13</c:v>
                  </c:pt>
                  <c:pt idx="17">
                    <c:v>T-05.1/may 7-may 11</c:v>
                  </c:pt>
                  <c:pt idx="18">
                    <c:v>T-05.2/may 12-may 14</c:v>
                  </c:pt>
                  <c:pt idx="19">
                    <c:v>T-05.3/may 15-may 18</c:v>
                  </c:pt>
                  <c:pt idx="20">
                    <c:v>T-05.4/may 19-may 20</c:v>
                  </c:pt>
                  <c:pt idx="21">
                    <c:v>T-06.1/may 7-may 9</c:v>
                  </c:pt>
                  <c:pt idx="22">
                    <c:v>T-06.2/may 10-may 11</c:v>
                  </c:pt>
                  <c:pt idx="23">
                    <c:v>T-06.3/may 12-may 14</c:v>
                  </c:pt>
                  <c:pt idx="24">
                    <c:v>T-07.1/may 15-may 19</c:v>
                  </c:pt>
                  <c:pt idx="25">
                    <c:v>T-07.2/may 20-may 27</c:v>
                  </c:pt>
                  <c:pt idx="26">
                    <c:v>T-07.3/may 28-may 30</c:v>
                  </c:pt>
                  <c:pt idx="27">
                    <c:v>T-07.4/may 31-jun 2</c:v>
                  </c:pt>
                  <c:pt idx="28">
                    <c:v>T-07.5/jun 3-jun 4</c:v>
                  </c:pt>
                  <c:pt idx="29">
                    <c:v>T-07.6/jun 5-jun 6</c:v>
                  </c:pt>
                  <c:pt idx="30">
                    <c:v>T-07.7/jun 7-jun 9</c:v>
                  </c:pt>
                  <c:pt idx="31">
                    <c:v>T-08.1/jun 10-jun 11</c:v>
                  </c:pt>
                  <c:pt idx="32">
                    <c:v>T-08.2/jun 12-jun 16</c:v>
                  </c:pt>
                  <c:pt idx="33">
                    <c:v>T-08.3/jun 17-jun 18</c:v>
                  </c:pt>
                  <c:pt idx="34">
                    <c:v>T-09.1/jun 19-jun 20</c:v>
                  </c:pt>
                  <c:pt idx="35">
                    <c:v>T-09.2/jun 21-jun 23</c:v>
                  </c:pt>
                  <c:pt idx="36">
                    <c:v>T-10.1/jun 24-jun 25</c:v>
                  </c:pt>
                  <c:pt idx="37">
                    <c:v>T-10.2/jun 26-jun 28</c:v>
                  </c:pt>
                  <c:pt idx="38">
                    <c:v>T-11.1/jun 29-jul 1</c:v>
                  </c:pt>
                  <c:pt idx="39">
                    <c:v>T-11.2/jul 2-jul 4</c:v>
                  </c:pt>
                  <c:pt idx="40">
                    <c:v>T-11.3/jul 5-jul 7</c:v>
                  </c:pt>
                  <c:pt idx="41">
                    <c:v>T-11.4/jul 8-jul 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9B6-4C2C-80EC-6455EB41EDE3}"/>
            </c:ext>
          </c:extLst>
        </c:ser>
        <c:ser>
          <c:idx val="1"/>
          <c:order val="1"/>
          <c:tx>
            <c:v>Hitos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blipFill>
                <a:blip xmlns:r="http://schemas.openxmlformats.org/officeDocument/2006/relationships" r:embed="rId3"/>
                <a:stretch>
                  <a:fillRect/>
                </a:stretch>
              </a:blipFill>
              <a:ln w="9525">
                <a:noFill/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7F1E17A-93B2-4EDD-9C8F-0614571DD9D3}" type="CELLRANGE">
                      <a:rPr lang="en-US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39B6-4C2C-80EC-6455EB41EDE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29D56C1-94AE-4059-A49F-1A5F566568ED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9B6-4C2C-80EC-6455EB41EDE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174553C-0063-40DE-A55F-FC0A8BF3584E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9B6-4C2C-80EC-6455EB41EDE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D4E0556-74A7-4295-A1F6-7075025364C6}" type="CELLRANGE">
                      <a:rPr lang="es-PE"/>
                      <a:pPr/>
                      <a:t>[CELLRANGE]</a:t>
                    </a:fld>
                    <a:endParaRPr lang="es-PE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9B6-4C2C-80EC-6455EB41ED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l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errBars>
            <c:errDir val="y"/>
            <c:errBarType val="minus"/>
            <c:errValType val="percentage"/>
            <c:noEndCap val="1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prstDash val="sysDot"/>
                <a:round/>
              </a:ln>
              <a:effectLst/>
            </c:spPr>
          </c:errBars>
          <c:xVal>
            <c:numRef>
              <c:f>Hoja1!$J$22:$J$25</c:f>
              <c:numCache>
                <c:formatCode>m/d/yyyy</c:formatCode>
                <c:ptCount val="4"/>
                <c:pt idx="0">
                  <c:v>46119</c:v>
                </c:pt>
                <c:pt idx="1">
                  <c:v>46141</c:v>
                </c:pt>
                <c:pt idx="2">
                  <c:v>46157</c:v>
                </c:pt>
                <c:pt idx="3">
                  <c:v>46183</c:v>
                </c:pt>
              </c:numCache>
            </c:numRef>
          </c:xVal>
          <c:yVal>
            <c:numRef>
              <c:f>Hoja1!$K$22:$K$25</c:f>
              <c:numCache>
                <c:formatCode>General</c:formatCode>
                <c:ptCount val="4"/>
                <c:pt idx="0">
                  <c:v>50</c:v>
                </c:pt>
                <c:pt idx="1">
                  <c:v>45</c:v>
                </c:pt>
                <c:pt idx="2">
                  <c:v>40</c:v>
                </c:pt>
                <c:pt idx="3">
                  <c:v>35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Hoja1!$I$22:$I$25</c15:f>
                <c15:dlblRangeCache>
                  <c:ptCount val="4"/>
                  <c:pt idx="0">
                    <c:v>Sprint 1</c:v>
                  </c:pt>
                  <c:pt idx="1">
                    <c:v>Sprint 2</c:v>
                  </c:pt>
                  <c:pt idx="2">
                    <c:v>Sprint 3</c:v>
                  </c:pt>
                  <c:pt idx="3">
                    <c:v>Sprint 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39B6-4C2C-80EC-6455EB41E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6306912"/>
        <c:axId val="1506305664"/>
      </c:scatterChart>
      <c:valAx>
        <c:axId val="1506306912"/>
        <c:scaling>
          <c:orientation val="minMax"/>
        </c:scaling>
        <c:delete val="0"/>
        <c:axPos val="b"/>
        <c:numFmt formatCode="m/d/yyyy" sourceLinked="1"/>
        <c:majorTickMark val="cross"/>
        <c:minorTickMark val="none"/>
        <c:tickLblPos val="nextTo"/>
        <c:spPr>
          <a:noFill/>
          <a:ln w="381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gency FB" panose="020B0503020202020204" pitchFamily="34" charset="0"/>
                <a:ea typeface="+mn-ea"/>
                <a:cs typeface="+mn-cs"/>
              </a:defRPr>
            </a:pPr>
            <a:endParaRPr lang="es-PE"/>
          </a:p>
        </c:txPr>
        <c:crossAx val="1506305664"/>
        <c:crosses val="autoZero"/>
        <c:crossBetween val="midCat"/>
      </c:valAx>
      <c:valAx>
        <c:axId val="1506305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150630691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479913</xdr:colOff>
      <xdr:row>1</xdr:row>
      <xdr:rowOff>35168</xdr:rowOff>
    </xdr:from>
    <xdr:to>
      <xdr:col>12</xdr:col>
      <xdr:colOff>168519</xdr:colOff>
      <xdr:row>19</xdr:row>
      <xdr:rowOff>80596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B9826B-CB01-4959-8905-542DD7459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FFAB76-006E-47D1-BDAD-5C9A615511CF}" name="Tabla1" displayName="Tabla1" ref="A21:G63" totalsRowShown="0">
  <autoFilter ref="A21:G63" xr:uid="{DAFFAB76-006E-47D1-BDAD-5C9A615511CF}"/>
  <tableColumns count="7">
    <tableColumn id="1" xr3:uid="{2B73AC33-E16B-44C6-ABF2-5F4689F50762}" name="Tareas"/>
    <tableColumn id="2" xr3:uid="{08747F94-9884-4D74-9461-622BFBDA8379}" name="Fecha Inicio" dataDxfId="2"/>
    <tableColumn id="3" xr3:uid="{9F52281B-B44A-4A39-A845-32752D6ABE91}" name="Fecha Fin" dataDxfId="1">
      <calculatedColumnFormula>B22+D22-1</calculatedColumnFormula>
    </tableColumn>
    <tableColumn id="4" xr3:uid="{D0525428-4FAA-4931-88C1-68ECBAEA6ECA}" name="Duracion"/>
    <tableColumn id="5" xr3:uid="{BCC2989B-E313-4ADE-8D3B-6308FB66DDFB}" name="Etiqueta">
      <calculatedColumnFormula>A22&amp;"/"&amp;TEXT(B22,"mmm d")&amp;"-"&amp;TEXT(C22,"mmm d")</calculatedColumnFormula>
    </tableColumn>
    <tableColumn id="6" xr3:uid="{D79CCE37-EBF8-41B3-AD26-556CB17352C3}" name="PY Eje"/>
    <tableColumn id="7" xr3:uid="{6EBAF92E-60B1-4009-888B-EA3C059BBBFB}" name="PY Tareas">
      <calculatedColumnFormula>Tabla1[[#This Row],[PY Eje]]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2F36A04-3AE9-4436-AE96-A5C7021C64A5}" name="Tabla2" displayName="Tabla2" ref="I21:K25" totalsRowShown="0">
  <autoFilter ref="I21:K25" xr:uid="{B2F36A04-3AE9-4436-AE96-A5C7021C64A5}"/>
  <tableColumns count="3">
    <tableColumn id="1" xr3:uid="{0D5D86CD-3C8A-4C07-9155-858C0A3D417B}" name="Hitos"/>
    <tableColumn id="2" xr3:uid="{C43CE4FC-73E1-4B86-A1D3-26B25A32CD00}" name="Fecha" dataDxfId="0"/>
    <tableColumn id="3" xr3:uid="{F5F32D36-F133-450E-B5EF-D34425BC85D5}" name="P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47041-B4FB-4775-8BDB-D33395C13F51}">
  <dimension ref="A21:K63"/>
  <sheetViews>
    <sheetView tabSelected="1" topLeftCell="A28" zoomScale="130" zoomScaleNormal="130" workbookViewId="0">
      <selection activeCell="N27" sqref="N27"/>
    </sheetView>
  </sheetViews>
  <sheetFormatPr baseColWidth="10" defaultRowHeight="15" x14ac:dyDescent="0.25"/>
  <cols>
    <col min="2" max="2" width="12.5703125" customWidth="1"/>
    <col min="3" max="3" width="11.85546875" bestFit="1" customWidth="1"/>
    <col min="5" max="5" width="20.5703125" bestFit="1" customWidth="1"/>
    <col min="10" max="10" width="11.85546875" bestFit="1" customWidth="1"/>
  </cols>
  <sheetData>
    <row r="21" spans="1:11" ht="15.75" thickBot="1" x14ac:dyDescent="0.3">
      <c r="A21" t="s">
        <v>0</v>
      </c>
      <c r="B21" t="s">
        <v>1</v>
      </c>
      <c r="C21" t="s">
        <v>2</v>
      </c>
      <c r="D21" t="s">
        <v>3</v>
      </c>
      <c r="E21" t="s">
        <v>4</v>
      </c>
      <c r="F21" t="s">
        <v>5</v>
      </c>
      <c r="G21" t="s">
        <v>6</v>
      </c>
      <c r="I21" t="s">
        <v>7</v>
      </c>
      <c r="J21" t="s">
        <v>8</v>
      </c>
      <c r="K21" t="s">
        <v>9</v>
      </c>
    </row>
    <row r="22" spans="1:11" ht="15.75" thickBot="1" x14ac:dyDescent="0.3">
      <c r="A22" s="2" t="s">
        <v>14</v>
      </c>
      <c r="B22" s="1">
        <v>46119</v>
      </c>
      <c r="C22" s="1">
        <f>B22+D22-1</f>
        <v>46120</v>
      </c>
      <c r="D22">
        <v>2</v>
      </c>
      <c r="E22" t="str">
        <f>A22&amp;"/"&amp;TEXT(B22,"mmm d")&amp;"-"&amp;TEXT(C22,"mmm d")</f>
        <v>T-01.1/abr 7-abr 8</v>
      </c>
      <c r="F22">
        <v>-25</v>
      </c>
      <c r="G22">
        <f>Tabla1[[#This Row],[PY Eje]]</f>
        <v>-25</v>
      </c>
      <c r="I22" t="s">
        <v>10</v>
      </c>
      <c r="J22" s="1">
        <v>46119</v>
      </c>
      <c r="K22">
        <v>50</v>
      </c>
    </row>
    <row r="23" spans="1:11" ht="15.75" thickBot="1" x14ac:dyDescent="0.3">
      <c r="A23" s="3" t="s">
        <v>15</v>
      </c>
      <c r="B23" s="1">
        <f>C22+1</f>
        <v>46121</v>
      </c>
      <c r="C23" s="1">
        <f t="shared" ref="C23:C62" si="0">B23+D23-1</f>
        <v>46123</v>
      </c>
      <c r="D23">
        <v>3</v>
      </c>
      <c r="E23" t="str">
        <f t="shared" ref="E23:E30" si="1">A23&amp;"/"&amp;TEXT(B23,"mmm d")&amp;"-"&amp;TEXT(C23,"mmm d")</f>
        <v>T-01.2/abr 9-abr 11</v>
      </c>
      <c r="F23">
        <f>F22-20</f>
        <v>-45</v>
      </c>
      <c r="G23">
        <f>F22-Tabla1[[#This Row],[PY Eje]]</f>
        <v>20</v>
      </c>
      <c r="I23" t="s">
        <v>11</v>
      </c>
      <c r="J23" s="1">
        <v>46141</v>
      </c>
      <c r="K23">
        <v>45</v>
      </c>
    </row>
    <row r="24" spans="1:11" ht="15.75" thickBot="1" x14ac:dyDescent="0.3">
      <c r="A24" s="3" t="s">
        <v>16</v>
      </c>
      <c r="B24" s="1">
        <f>C23+1</f>
        <v>46124</v>
      </c>
      <c r="C24" s="1">
        <f t="shared" si="0"/>
        <v>46125</v>
      </c>
      <c r="D24">
        <v>2</v>
      </c>
      <c r="E24" t="str">
        <f t="shared" si="1"/>
        <v>T-01.3/abr 12-abr 13</v>
      </c>
      <c r="F24">
        <f t="shared" ref="F24:F63" si="2">F23-20</f>
        <v>-65</v>
      </c>
      <c r="G24">
        <f>F23-Tabla1[[#This Row],[PY Eje]]</f>
        <v>20</v>
      </c>
      <c r="I24" t="s">
        <v>12</v>
      </c>
      <c r="J24" s="1">
        <v>46157</v>
      </c>
      <c r="K24">
        <v>40</v>
      </c>
    </row>
    <row r="25" spans="1:11" ht="15.75" thickBot="1" x14ac:dyDescent="0.3">
      <c r="A25" s="3" t="s">
        <v>41</v>
      </c>
      <c r="B25" s="1">
        <f t="shared" ref="B25:B63" si="3">C24+1</f>
        <v>46126</v>
      </c>
      <c r="C25" s="1">
        <f t="shared" si="0"/>
        <v>46128</v>
      </c>
      <c r="D25">
        <v>3</v>
      </c>
      <c r="E25" t="str">
        <f t="shared" si="1"/>
        <v>T-01.4/abr 14-abr 16</v>
      </c>
      <c r="F25">
        <f t="shared" si="2"/>
        <v>-85</v>
      </c>
      <c r="G25">
        <f>F24-Tabla1[[#This Row],[PY Eje]]</f>
        <v>20</v>
      </c>
      <c r="I25" t="s">
        <v>13</v>
      </c>
      <c r="J25" s="1">
        <v>46183</v>
      </c>
      <c r="K25">
        <v>35</v>
      </c>
    </row>
    <row r="26" spans="1:11" ht="15.75" thickBot="1" x14ac:dyDescent="0.3">
      <c r="A26" s="3" t="s">
        <v>42</v>
      </c>
      <c r="B26" s="1">
        <f t="shared" si="3"/>
        <v>46129</v>
      </c>
      <c r="C26" s="1">
        <f t="shared" si="0"/>
        <v>46130</v>
      </c>
      <c r="D26">
        <v>2</v>
      </c>
      <c r="E26" t="str">
        <f t="shared" si="1"/>
        <v>T-01.5/abr 17-abr 18</v>
      </c>
      <c r="F26">
        <f t="shared" si="2"/>
        <v>-105</v>
      </c>
      <c r="G26">
        <f>F25-Tabla1[[#This Row],[PY Eje]]</f>
        <v>20</v>
      </c>
    </row>
    <row r="27" spans="1:11" ht="15.75" thickBot="1" x14ac:dyDescent="0.3">
      <c r="A27" s="3" t="s">
        <v>17</v>
      </c>
      <c r="B27" s="1">
        <f t="shared" si="3"/>
        <v>46131</v>
      </c>
      <c r="C27" s="1">
        <f t="shared" si="0"/>
        <v>46132</v>
      </c>
      <c r="D27">
        <v>2</v>
      </c>
      <c r="E27" t="str">
        <f t="shared" si="1"/>
        <v>T-02.1/abr 19-abr 20</v>
      </c>
      <c r="F27">
        <f t="shared" si="2"/>
        <v>-125</v>
      </c>
      <c r="G27">
        <f>F26-Tabla1[[#This Row],[PY Eje]]</f>
        <v>20</v>
      </c>
    </row>
    <row r="28" spans="1:11" ht="15.75" thickBot="1" x14ac:dyDescent="0.3">
      <c r="A28" s="3" t="s">
        <v>18</v>
      </c>
      <c r="B28" s="1">
        <f t="shared" si="3"/>
        <v>46133</v>
      </c>
      <c r="C28" s="1">
        <f t="shared" si="0"/>
        <v>46135</v>
      </c>
      <c r="D28">
        <v>3</v>
      </c>
      <c r="E28" t="str">
        <f t="shared" si="1"/>
        <v>T-02.2/abr 21-abr 23</v>
      </c>
      <c r="F28">
        <f t="shared" si="2"/>
        <v>-145</v>
      </c>
      <c r="G28">
        <f>F27-Tabla1[[#This Row],[PY Eje]]</f>
        <v>20</v>
      </c>
    </row>
    <row r="29" spans="1:11" ht="15.75" thickBot="1" x14ac:dyDescent="0.3">
      <c r="A29" s="3" t="s">
        <v>19</v>
      </c>
      <c r="B29" s="1">
        <f t="shared" si="3"/>
        <v>46136</v>
      </c>
      <c r="C29" s="1">
        <f t="shared" si="0"/>
        <v>46138</v>
      </c>
      <c r="D29">
        <v>3</v>
      </c>
      <c r="E29" t="str">
        <f t="shared" si="1"/>
        <v>T-02.3/abr 24-abr 26</v>
      </c>
      <c r="F29">
        <f t="shared" si="2"/>
        <v>-165</v>
      </c>
      <c r="G29">
        <f>F28-Tabla1[[#This Row],[PY Eje]]</f>
        <v>20</v>
      </c>
    </row>
    <row r="30" spans="1:11" ht="15.75" thickBot="1" x14ac:dyDescent="0.3">
      <c r="A30" s="3" t="s">
        <v>43</v>
      </c>
      <c r="B30" s="1">
        <f t="shared" si="3"/>
        <v>46139</v>
      </c>
      <c r="C30" s="1">
        <f t="shared" si="0"/>
        <v>46140</v>
      </c>
      <c r="D30">
        <v>2</v>
      </c>
      <c r="E30" t="str">
        <f t="shared" si="1"/>
        <v>T-02.4/abr 27-abr 28</v>
      </c>
      <c r="F30">
        <f t="shared" si="2"/>
        <v>-185</v>
      </c>
      <c r="G30">
        <f>F29-Tabla1[[#This Row],[PY Eje]]</f>
        <v>20</v>
      </c>
    </row>
    <row r="31" spans="1:11" ht="15.75" thickBot="1" x14ac:dyDescent="0.3">
      <c r="A31" s="3" t="s">
        <v>20</v>
      </c>
      <c r="B31" s="1">
        <f t="shared" si="3"/>
        <v>46141</v>
      </c>
      <c r="C31" s="1">
        <f t="shared" si="0"/>
        <v>46141</v>
      </c>
      <c r="D31">
        <v>1</v>
      </c>
      <c r="E31" t="str">
        <f>A31&amp;"/"&amp;TEXT(B31,"mmm d")&amp;"-"&amp;TEXT(C31,"mmm d")</f>
        <v>T-03.1/abr 29-abr 29</v>
      </c>
      <c r="F31">
        <f t="shared" si="2"/>
        <v>-205</v>
      </c>
      <c r="G31">
        <f>F30-Tabla1[[#This Row],[PY Eje]]</f>
        <v>20</v>
      </c>
    </row>
    <row r="32" spans="1:11" ht="15.75" thickBot="1" x14ac:dyDescent="0.3">
      <c r="A32" s="3" t="s">
        <v>21</v>
      </c>
      <c r="B32" s="1">
        <f t="shared" si="3"/>
        <v>46142</v>
      </c>
      <c r="C32" s="1">
        <f t="shared" si="0"/>
        <v>46143</v>
      </c>
      <c r="D32">
        <v>2</v>
      </c>
      <c r="E32" t="str">
        <f t="shared" ref="E32:E49" si="4">A32&amp;"/"&amp;TEXT(B32,"mmm d")&amp;"-"&amp;TEXT(C32,"mmm d")</f>
        <v>T-03.2/abr 30-may 1</v>
      </c>
      <c r="F32">
        <f t="shared" si="2"/>
        <v>-225</v>
      </c>
      <c r="G32">
        <f>F31-Tabla1[[#This Row],[PY Eje]]</f>
        <v>20</v>
      </c>
    </row>
    <row r="33" spans="1:7" ht="15.75" thickBot="1" x14ac:dyDescent="0.3">
      <c r="A33" s="3" t="s">
        <v>22</v>
      </c>
      <c r="B33" s="1">
        <f t="shared" si="3"/>
        <v>46144</v>
      </c>
      <c r="C33" s="1">
        <f t="shared" si="0"/>
        <v>46145</v>
      </c>
      <c r="D33">
        <v>2</v>
      </c>
      <c r="E33" t="str">
        <f t="shared" si="4"/>
        <v>T-03.3/may 2-may 3</v>
      </c>
      <c r="F33">
        <f t="shared" si="2"/>
        <v>-245</v>
      </c>
      <c r="G33">
        <f>F32-Tabla1[[#This Row],[PY Eje]]</f>
        <v>20</v>
      </c>
    </row>
    <row r="34" spans="1:7" ht="15.75" thickBot="1" x14ac:dyDescent="0.3">
      <c r="A34" s="3" t="s">
        <v>44</v>
      </c>
      <c r="B34" s="1">
        <f t="shared" si="3"/>
        <v>46146</v>
      </c>
      <c r="C34" s="1">
        <f t="shared" si="0"/>
        <v>46146</v>
      </c>
      <c r="D34">
        <v>1</v>
      </c>
      <c r="E34" t="str">
        <f t="shared" si="4"/>
        <v>T-03.4/may 4-may 4</v>
      </c>
      <c r="F34">
        <f t="shared" si="2"/>
        <v>-265</v>
      </c>
      <c r="G34">
        <f>F33-Tabla1[[#This Row],[PY Eje]]</f>
        <v>20</v>
      </c>
    </row>
    <row r="35" spans="1:7" ht="15.75" thickBot="1" x14ac:dyDescent="0.3">
      <c r="A35" s="3" t="s">
        <v>23</v>
      </c>
      <c r="B35" s="1">
        <f t="shared" si="3"/>
        <v>46147</v>
      </c>
      <c r="C35" s="1">
        <f t="shared" si="0"/>
        <v>46148</v>
      </c>
      <c r="D35">
        <v>2</v>
      </c>
      <c r="E35" t="str">
        <f t="shared" si="4"/>
        <v>T-04.1/may 5-may 6</v>
      </c>
      <c r="F35">
        <f t="shared" si="2"/>
        <v>-285</v>
      </c>
      <c r="G35">
        <f>F34-Tabla1[[#This Row],[PY Eje]]</f>
        <v>20</v>
      </c>
    </row>
    <row r="36" spans="1:7" ht="15.75" thickBot="1" x14ac:dyDescent="0.3">
      <c r="A36" s="3" t="s">
        <v>24</v>
      </c>
      <c r="B36" s="1">
        <f t="shared" si="3"/>
        <v>46149</v>
      </c>
      <c r="C36" s="1">
        <f t="shared" si="0"/>
        <v>46150</v>
      </c>
      <c r="D36">
        <v>2</v>
      </c>
      <c r="E36" t="str">
        <f t="shared" si="4"/>
        <v>T-04.2/may 7-may 8</v>
      </c>
      <c r="F36">
        <f t="shared" si="2"/>
        <v>-305</v>
      </c>
      <c r="G36">
        <f>F35-Tabla1[[#This Row],[PY Eje]]</f>
        <v>20</v>
      </c>
    </row>
    <row r="37" spans="1:7" ht="15.75" thickBot="1" x14ac:dyDescent="0.3">
      <c r="A37" s="3" t="s">
        <v>25</v>
      </c>
      <c r="B37" s="1">
        <f t="shared" si="3"/>
        <v>46151</v>
      </c>
      <c r="C37" s="1">
        <f t="shared" si="0"/>
        <v>46153</v>
      </c>
      <c r="D37">
        <v>3</v>
      </c>
      <c r="E37" t="str">
        <f t="shared" si="4"/>
        <v>T-04.3/may 9-may 11</v>
      </c>
      <c r="F37">
        <f t="shared" si="2"/>
        <v>-325</v>
      </c>
      <c r="G37">
        <f>F36-Tabla1[[#This Row],[PY Eje]]</f>
        <v>20</v>
      </c>
    </row>
    <row r="38" spans="1:7" ht="15.75" thickBot="1" x14ac:dyDescent="0.3">
      <c r="A38" s="3" t="s">
        <v>45</v>
      </c>
      <c r="B38" s="1">
        <f t="shared" si="3"/>
        <v>46154</v>
      </c>
      <c r="C38" s="1">
        <f t="shared" si="0"/>
        <v>46155</v>
      </c>
      <c r="D38">
        <v>2</v>
      </c>
      <c r="E38" t="str">
        <f t="shared" si="4"/>
        <v>T-04.4/may 12-may 13</v>
      </c>
      <c r="F38">
        <f t="shared" si="2"/>
        <v>-345</v>
      </c>
      <c r="G38">
        <f>F37-Tabla1[[#This Row],[PY Eje]]</f>
        <v>20</v>
      </c>
    </row>
    <row r="39" spans="1:7" ht="15.75" thickBot="1" x14ac:dyDescent="0.3">
      <c r="A39" s="3" t="s">
        <v>26</v>
      </c>
      <c r="B39" s="1">
        <f>C35+1</f>
        <v>46149</v>
      </c>
      <c r="C39" s="1">
        <f t="shared" si="0"/>
        <v>46153</v>
      </c>
      <c r="D39">
        <v>5</v>
      </c>
      <c r="E39" t="str">
        <f t="shared" si="4"/>
        <v>T-05.1/may 7-may 11</v>
      </c>
      <c r="F39">
        <f t="shared" si="2"/>
        <v>-365</v>
      </c>
      <c r="G39">
        <f>F35-Tabla1[[#This Row],[PY Eje]]</f>
        <v>80</v>
      </c>
    </row>
    <row r="40" spans="1:7" ht="15.75" thickBot="1" x14ac:dyDescent="0.3">
      <c r="A40" s="3" t="s">
        <v>27</v>
      </c>
      <c r="B40" s="1">
        <f t="shared" si="3"/>
        <v>46154</v>
      </c>
      <c r="C40" s="1">
        <f t="shared" si="0"/>
        <v>46156</v>
      </c>
      <c r="D40">
        <v>3</v>
      </c>
      <c r="E40" t="str">
        <f t="shared" si="4"/>
        <v>T-05.2/may 12-may 14</v>
      </c>
      <c r="F40">
        <f t="shared" si="2"/>
        <v>-385</v>
      </c>
      <c r="G40">
        <f>F39-Tabla1[[#This Row],[PY Eje]]</f>
        <v>20</v>
      </c>
    </row>
    <row r="41" spans="1:7" ht="15.75" thickBot="1" x14ac:dyDescent="0.3">
      <c r="A41" s="3" t="s">
        <v>28</v>
      </c>
      <c r="B41" s="1">
        <f t="shared" si="3"/>
        <v>46157</v>
      </c>
      <c r="C41" s="1">
        <f t="shared" si="0"/>
        <v>46160</v>
      </c>
      <c r="D41">
        <v>4</v>
      </c>
      <c r="E41" t="str">
        <f t="shared" si="4"/>
        <v>T-05.3/may 15-may 18</v>
      </c>
      <c r="F41">
        <f t="shared" si="2"/>
        <v>-405</v>
      </c>
      <c r="G41">
        <f>F40-Tabla1[[#This Row],[PY Eje]]</f>
        <v>20</v>
      </c>
    </row>
    <row r="42" spans="1:7" ht="15.75" thickBot="1" x14ac:dyDescent="0.3">
      <c r="A42" s="3" t="s">
        <v>46</v>
      </c>
      <c r="B42" s="1">
        <f t="shared" si="3"/>
        <v>46161</v>
      </c>
      <c r="C42" s="1">
        <f t="shared" si="0"/>
        <v>46162</v>
      </c>
      <c r="D42">
        <v>2</v>
      </c>
      <c r="E42" t="str">
        <f t="shared" si="4"/>
        <v>T-05.4/may 19-may 20</v>
      </c>
      <c r="F42">
        <f t="shared" si="2"/>
        <v>-425</v>
      </c>
      <c r="G42">
        <f>F41-Tabla1[[#This Row],[PY Eje]]</f>
        <v>20</v>
      </c>
    </row>
    <row r="43" spans="1:7" ht="15.75" thickBot="1" x14ac:dyDescent="0.3">
      <c r="A43" s="3" t="s">
        <v>29</v>
      </c>
      <c r="B43" s="1">
        <f>C35+1</f>
        <v>46149</v>
      </c>
      <c r="C43" s="1">
        <f t="shared" si="0"/>
        <v>46151</v>
      </c>
      <c r="D43">
        <v>3</v>
      </c>
      <c r="E43" t="str">
        <f t="shared" si="4"/>
        <v>T-06.1/may 7-may 9</v>
      </c>
      <c r="F43">
        <f t="shared" si="2"/>
        <v>-445</v>
      </c>
      <c r="G43">
        <f>F35-Tabla1[[#This Row],[PY Eje]]</f>
        <v>160</v>
      </c>
    </row>
    <row r="44" spans="1:7" ht="15.75" thickBot="1" x14ac:dyDescent="0.3">
      <c r="A44" s="3" t="s">
        <v>30</v>
      </c>
      <c r="B44" s="1">
        <f t="shared" si="3"/>
        <v>46152</v>
      </c>
      <c r="C44" s="1">
        <f t="shared" si="0"/>
        <v>46153</v>
      </c>
      <c r="D44">
        <v>2</v>
      </c>
      <c r="E44" t="str">
        <f t="shared" si="4"/>
        <v>T-06.2/may 10-may 11</v>
      </c>
      <c r="F44">
        <f t="shared" si="2"/>
        <v>-465</v>
      </c>
      <c r="G44">
        <f>F43-Tabla1[[#This Row],[PY Eje]]</f>
        <v>20</v>
      </c>
    </row>
    <row r="45" spans="1:7" ht="15.75" thickBot="1" x14ac:dyDescent="0.3">
      <c r="A45" s="3" t="s">
        <v>31</v>
      </c>
      <c r="B45" s="1">
        <f t="shared" si="3"/>
        <v>46154</v>
      </c>
      <c r="C45" s="1">
        <f t="shared" si="0"/>
        <v>46156</v>
      </c>
      <c r="D45">
        <v>3</v>
      </c>
      <c r="E45" t="str">
        <f t="shared" si="4"/>
        <v>T-06.3/may 12-may 14</v>
      </c>
      <c r="F45">
        <f t="shared" si="2"/>
        <v>-485</v>
      </c>
      <c r="G45">
        <f>F44-Tabla1[[#This Row],[PY Eje]]</f>
        <v>20</v>
      </c>
    </row>
    <row r="46" spans="1:7" ht="15.75" thickBot="1" x14ac:dyDescent="0.3">
      <c r="A46" s="3" t="s">
        <v>32</v>
      </c>
      <c r="B46" s="1">
        <f t="shared" si="3"/>
        <v>46157</v>
      </c>
      <c r="C46" s="1">
        <f t="shared" si="0"/>
        <v>46161</v>
      </c>
      <c r="D46">
        <v>5</v>
      </c>
      <c r="E46" t="str">
        <f t="shared" si="4"/>
        <v>T-07.1/may 15-may 19</v>
      </c>
      <c r="F46">
        <f t="shared" si="2"/>
        <v>-505</v>
      </c>
      <c r="G46">
        <f>F45-Tabla1[[#This Row],[PY Eje]]</f>
        <v>20</v>
      </c>
    </row>
    <row r="47" spans="1:7" ht="15.75" thickBot="1" x14ac:dyDescent="0.3">
      <c r="A47" s="3" t="s">
        <v>33</v>
      </c>
      <c r="B47" s="1">
        <f t="shared" si="3"/>
        <v>46162</v>
      </c>
      <c r="C47" s="1">
        <f t="shared" si="0"/>
        <v>46169</v>
      </c>
      <c r="D47">
        <v>8</v>
      </c>
      <c r="E47" t="str">
        <f t="shared" si="4"/>
        <v>T-07.2/may 20-may 27</v>
      </c>
      <c r="F47">
        <f t="shared" si="2"/>
        <v>-525</v>
      </c>
      <c r="G47">
        <f>F46-Tabla1[[#This Row],[PY Eje]]</f>
        <v>20</v>
      </c>
    </row>
    <row r="48" spans="1:7" ht="15.75" thickBot="1" x14ac:dyDescent="0.3">
      <c r="A48" s="3" t="s">
        <v>47</v>
      </c>
      <c r="B48" s="1">
        <f t="shared" si="3"/>
        <v>46170</v>
      </c>
      <c r="C48" s="1">
        <f t="shared" si="0"/>
        <v>46172</v>
      </c>
      <c r="D48">
        <v>3</v>
      </c>
      <c r="E48" t="str">
        <f t="shared" si="4"/>
        <v>T-07.3/may 28-may 30</v>
      </c>
      <c r="F48">
        <f t="shared" si="2"/>
        <v>-545</v>
      </c>
      <c r="G48">
        <f>F47-Tabla1[[#This Row],[PY Eje]]</f>
        <v>20</v>
      </c>
    </row>
    <row r="49" spans="1:7" ht="15.75" thickBot="1" x14ac:dyDescent="0.3">
      <c r="A49" s="4" t="s">
        <v>48</v>
      </c>
      <c r="B49" s="1">
        <f t="shared" si="3"/>
        <v>46173</v>
      </c>
      <c r="C49" s="1">
        <f t="shared" si="0"/>
        <v>46175</v>
      </c>
      <c r="D49">
        <v>3</v>
      </c>
      <c r="E49" t="str">
        <f t="shared" si="4"/>
        <v>T-07.4/may 31-jun 2</v>
      </c>
      <c r="F49">
        <f t="shared" si="2"/>
        <v>-565</v>
      </c>
      <c r="G49">
        <f>F48-Tabla1[[#This Row],[PY Eje]]</f>
        <v>20</v>
      </c>
    </row>
    <row r="50" spans="1:7" ht="15.75" thickBot="1" x14ac:dyDescent="0.3">
      <c r="A50" s="3" t="s">
        <v>49</v>
      </c>
      <c r="B50" s="1">
        <f t="shared" si="3"/>
        <v>46176</v>
      </c>
      <c r="C50" s="1">
        <f t="shared" si="0"/>
        <v>46177</v>
      </c>
      <c r="D50">
        <v>2</v>
      </c>
      <c r="E50" t="str">
        <f t="shared" ref="E50:E63" si="5">A50&amp;"/"&amp;TEXT(B50,"mmm d")&amp;"-"&amp;TEXT(C50,"mmm d")</f>
        <v>T-07.5/jun 3-jun 4</v>
      </c>
      <c r="F50">
        <f t="shared" si="2"/>
        <v>-585</v>
      </c>
      <c r="G50">
        <f>F49-Tabla1[[#This Row],[PY Eje]]</f>
        <v>20</v>
      </c>
    </row>
    <row r="51" spans="1:7" ht="15.75" thickBot="1" x14ac:dyDescent="0.3">
      <c r="A51" s="4" t="s">
        <v>50</v>
      </c>
      <c r="B51" s="1">
        <f t="shared" si="3"/>
        <v>46178</v>
      </c>
      <c r="C51" s="1">
        <f t="shared" si="0"/>
        <v>46179</v>
      </c>
      <c r="D51">
        <v>2</v>
      </c>
      <c r="E51" t="str">
        <f t="shared" si="5"/>
        <v>T-07.6/jun 5-jun 6</v>
      </c>
      <c r="F51">
        <f t="shared" si="2"/>
        <v>-605</v>
      </c>
      <c r="G51">
        <f>F50-Tabla1[[#This Row],[PY Eje]]</f>
        <v>20</v>
      </c>
    </row>
    <row r="52" spans="1:7" ht="15.75" thickBot="1" x14ac:dyDescent="0.3">
      <c r="A52" s="3" t="s">
        <v>51</v>
      </c>
      <c r="B52" s="1">
        <f t="shared" si="3"/>
        <v>46180</v>
      </c>
      <c r="C52" s="1">
        <f t="shared" si="0"/>
        <v>46182</v>
      </c>
      <c r="D52">
        <v>3</v>
      </c>
      <c r="E52" t="str">
        <f t="shared" si="5"/>
        <v>T-07.7/jun 7-jun 9</v>
      </c>
      <c r="F52">
        <f t="shared" si="2"/>
        <v>-625</v>
      </c>
      <c r="G52">
        <f>F51-Tabla1[[#This Row],[PY Eje]]</f>
        <v>20</v>
      </c>
    </row>
    <row r="53" spans="1:7" ht="15.75" thickBot="1" x14ac:dyDescent="0.3">
      <c r="A53" s="4" t="s">
        <v>34</v>
      </c>
      <c r="B53" s="1">
        <f t="shared" si="3"/>
        <v>46183</v>
      </c>
      <c r="C53" s="1">
        <f t="shared" si="0"/>
        <v>46184</v>
      </c>
      <c r="D53">
        <v>2</v>
      </c>
      <c r="E53" t="str">
        <f t="shared" si="5"/>
        <v>T-08.1/jun 10-jun 11</v>
      </c>
      <c r="F53">
        <f t="shared" si="2"/>
        <v>-645</v>
      </c>
      <c r="G53">
        <f>F52-Tabla1[[#This Row],[PY Eje]]</f>
        <v>20</v>
      </c>
    </row>
    <row r="54" spans="1:7" ht="15.75" thickBot="1" x14ac:dyDescent="0.3">
      <c r="A54" s="3" t="s">
        <v>35</v>
      </c>
      <c r="B54" s="1">
        <f t="shared" si="3"/>
        <v>46185</v>
      </c>
      <c r="C54" s="1">
        <f t="shared" si="0"/>
        <v>46189</v>
      </c>
      <c r="D54">
        <v>5</v>
      </c>
      <c r="E54" t="str">
        <f t="shared" si="5"/>
        <v>T-08.2/jun 12-jun 16</v>
      </c>
      <c r="F54">
        <f t="shared" si="2"/>
        <v>-665</v>
      </c>
      <c r="G54">
        <f>F53-Tabla1[[#This Row],[PY Eje]]</f>
        <v>20</v>
      </c>
    </row>
    <row r="55" spans="1:7" ht="15.75" thickBot="1" x14ac:dyDescent="0.3">
      <c r="A55" s="4" t="s">
        <v>36</v>
      </c>
      <c r="B55" s="1">
        <f t="shared" si="3"/>
        <v>46190</v>
      </c>
      <c r="C55" s="1">
        <f t="shared" si="0"/>
        <v>46191</v>
      </c>
      <c r="D55">
        <v>2</v>
      </c>
      <c r="E55" t="str">
        <f t="shared" si="5"/>
        <v>T-08.3/jun 17-jun 18</v>
      </c>
      <c r="F55">
        <f t="shared" si="2"/>
        <v>-685</v>
      </c>
      <c r="G55">
        <f>F54-Tabla1[[#This Row],[PY Eje]]</f>
        <v>20</v>
      </c>
    </row>
    <row r="56" spans="1:7" ht="15.75" thickBot="1" x14ac:dyDescent="0.3">
      <c r="A56" s="3" t="s">
        <v>37</v>
      </c>
      <c r="B56" s="1">
        <f t="shared" si="3"/>
        <v>46192</v>
      </c>
      <c r="C56" s="1">
        <f t="shared" si="0"/>
        <v>46193</v>
      </c>
      <c r="D56">
        <v>2</v>
      </c>
      <c r="E56" t="str">
        <f t="shared" si="5"/>
        <v>T-09.1/jun 19-jun 20</v>
      </c>
      <c r="F56">
        <f t="shared" si="2"/>
        <v>-705</v>
      </c>
      <c r="G56">
        <f>F55-Tabla1[[#This Row],[PY Eje]]</f>
        <v>20</v>
      </c>
    </row>
    <row r="57" spans="1:7" ht="15.75" thickBot="1" x14ac:dyDescent="0.3">
      <c r="A57" s="4" t="s">
        <v>38</v>
      </c>
      <c r="B57" s="1">
        <f t="shared" si="3"/>
        <v>46194</v>
      </c>
      <c r="C57" s="1">
        <f t="shared" si="0"/>
        <v>46196</v>
      </c>
      <c r="D57">
        <v>3</v>
      </c>
      <c r="E57" t="str">
        <f t="shared" si="5"/>
        <v>T-09.2/jun 21-jun 23</v>
      </c>
      <c r="F57">
        <f t="shared" si="2"/>
        <v>-725</v>
      </c>
      <c r="G57">
        <f>F56-Tabla1[[#This Row],[PY Eje]]</f>
        <v>20</v>
      </c>
    </row>
    <row r="58" spans="1:7" ht="15.75" thickBot="1" x14ac:dyDescent="0.3">
      <c r="A58" s="3" t="s">
        <v>39</v>
      </c>
      <c r="B58" s="1">
        <f t="shared" si="3"/>
        <v>46197</v>
      </c>
      <c r="C58" s="1">
        <f t="shared" si="0"/>
        <v>46198</v>
      </c>
      <c r="D58">
        <v>2</v>
      </c>
      <c r="E58" t="str">
        <f t="shared" si="5"/>
        <v>T-10.1/jun 24-jun 25</v>
      </c>
      <c r="F58">
        <f t="shared" si="2"/>
        <v>-745</v>
      </c>
      <c r="G58">
        <f>F57-Tabla1[[#This Row],[PY Eje]]</f>
        <v>20</v>
      </c>
    </row>
    <row r="59" spans="1:7" ht="15.75" thickBot="1" x14ac:dyDescent="0.3">
      <c r="A59" s="4" t="s">
        <v>40</v>
      </c>
      <c r="B59" s="1">
        <f t="shared" si="3"/>
        <v>46199</v>
      </c>
      <c r="C59" s="1">
        <f t="shared" si="0"/>
        <v>46201</v>
      </c>
      <c r="D59">
        <v>3</v>
      </c>
      <c r="E59" t="str">
        <f t="shared" si="5"/>
        <v>T-10.2/jun 26-jun 28</v>
      </c>
      <c r="F59">
        <f t="shared" si="2"/>
        <v>-765</v>
      </c>
      <c r="G59">
        <f>F58-Tabla1[[#This Row],[PY Eje]]</f>
        <v>20</v>
      </c>
    </row>
    <row r="60" spans="1:7" ht="15.75" thickBot="1" x14ac:dyDescent="0.3">
      <c r="A60" s="3" t="s">
        <v>52</v>
      </c>
      <c r="B60" s="1">
        <f t="shared" si="3"/>
        <v>46202</v>
      </c>
      <c r="C60" s="1">
        <f t="shared" si="0"/>
        <v>46204</v>
      </c>
      <c r="D60">
        <v>3</v>
      </c>
      <c r="E60" t="str">
        <f t="shared" si="5"/>
        <v>T-11.1/jun 29-jul 1</v>
      </c>
      <c r="F60">
        <f t="shared" si="2"/>
        <v>-785</v>
      </c>
      <c r="G60">
        <f>F59-Tabla1[[#This Row],[PY Eje]]</f>
        <v>20</v>
      </c>
    </row>
    <row r="61" spans="1:7" ht="15.75" thickBot="1" x14ac:dyDescent="0.3">
      <c r="A61" s="4" t="s">
        <v>53</v>
      </c>
      <c r="B61" s="1">
        <f t="shared" si="3"/>
        <v>46205</v>
      </c>
      <c r="C61" s="1">
        <f t="shared" si="0"/>
        <v>46207</v>
      </c>
      <c r="D61">
        <v>3</v>
      </c>
      <c r="E61" t="str">
        <f t="shared" si="5"/>
        <v>T-11.2/jul 2-jul 4</v>
      </c>
      <c r="F61">
        <f t="shared" si="2"/>
        <v>-805</v>
      </c>
      <c r="G61">
        <f>F60-Tabla1[[#This Row],[PY Eje]]</f>
        <v>20</v>
      </c>
    </row>
    <row r="62" spans="1:7" ht="15.75" thickBot="1" x14ac:dyDescent="0.3">
      <c r="A62" s="3" t="s">
        <v>54</v>
      </c>
      <c r="B62" s="1">
        <f t="shared" si="3"/>
        <v>46208</v>
      </c>
      <c r="C62" s="1">
        <f t="shared" si="0"/>
        <v>46210</v>
      </c>
      <c r="D62">
        <v>3</v>
      </c>
      <c r="E62" t="str">
        <f t="shared" si="5"/>
        <v>T-11.3/jul 5-jul 7</v>
      </c>
      <c r="F62">
        <f t="shared" si="2"/>
        <v>-825</v>
      </c>
      <c r="G62">
        <f>F61-Tabla1[[#This Row],[PY Eje]]</f>
        <v>20</v>
      </c>
    </row>
    <row r="63" spans="1:7" ht="15.75" thickBot="1" x14ac:dyDescent="0.3">
      <c r="A63" s="4" t="s">
        <v>55</v>
      </c>
      <c r="B63" s="1">
        <f t="shared" si="3"/>
        <v>46211</v>
      </c>
      <c r="C63" s="1">
        <f>B63+D63-1</f>
        <v>46213</v>
      </c>
      <c r="D63">
        <v>3</v>
      </c>
      <c r="E63" t="str">
        <f t="shared" si="5"/>
        <v>T-11.4/jul 8-jul 10</v>
      </c>
      <c r="F63">
        <f t="shared" si="2"/>
        <v>-845</v>
      </c>
      <c r="G63">
        <f>F62-Tabla1[[#This Row],[PY Eje]]</f>
        <v>20</v>
      </c>
    </row>
  </sheetData>
  <phoneticPr fontId="1" type="noConversion"/>
  <pageMargins left="0.7" right="0.7" top="0.75" bottom="0.75" header="0.3" footer="0.3"/>
  <pageSetup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Espinoza</dc:creator>
  <cp:lastModifiedBy>Juan Espinoza</cp:lastModifiedBy>
  <dcterms:created xsi:type="dcterms:W3CDTF">2026-04-09T19:06:25Z</dcterms:created>
  <dcterms:modified xsi:type="dcterms:W3CDTF">2026-04-27T02:53:43Z</dcterms:modified>
</cp:coreProperties>
</file>