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1" sheetId="1" r:id="rId4"/>
    <sheet state="visible" name="Sprint 2" sheetId="2" r:id="rId5"/>
    <sheet state="visible" name="Sprint 3" sheetId="3" r:id="rId6"/>
    <sheet state="visible" name="Sprint 4" sheetId="4" r:id="rId7"/>
    <sheet state="visible" name="Sprint 5" sheetId="5" r:id="rId8"/>
  </sheets>
  <definedNames>
    <definedName name="AverageSpeedLastEight">OFFSET(#REF!,1,0,#REF!,1)</definedName>
    <definedName name="AverageSpeedRealized">OFFSET(#REF!,1,0,#REF!,1)</definedName>
    <definedName name="AverageSpeedWorstThree">OFFSET(#REF!,1,0,#REF!,1)</definedName>
    <definedName name="ColBottomCurrentScope">OFFSET(#REF!,1,0,#REF!,1)</definedName>
    <definedName name="ColTopRemainingWork">OFFSET(#REF!,1,0,#REF!,1)</definedName>
    <definedName name="LastEight">IF(#REF!&gt;8,OFFSET(#REF!,#REF!-7,0,8,1),OFFSET(#REF!,1,0,#REF!-1,1))</definedName>
    <definedName name="LastPlanned">IF(OFFSET(#REF!,1,0,1,1)="",1,OFFSET(#REF!,#REF!,0,1,1))</definedName>
    <definedName name="LastRealized">IF(OFFSET(#REF!,1,0,1,1)="",1,OFFSET(#REF!,#REF!,0,1,1))</definedName>
    <definedName name="PBCurrentBottom">OFFSET(#REF!,1,0,#REF!,1)</definedName>
    <definedName name="PBTrend">OFFSET(#REF!,1,0,#REF!,1)</definedName>
    <definedName name="PlannedSpeed">OFFSET(#REF!,1,0,#REF!,1)</definedName>
    <definedName name="RealizedSpeed">OFFSET(#REF!,1,0,#REF!,1)</definedName>
    <definedName localSheetId="2" name="RealValues">OFFSET('Plantilla Sprint'!$H$17,0,0,1,'Plantilla Sprint'!DoneDays)</definedName>
    <definedName localSheetId="0" name="RealValues">OFFSET('Sprint 1'!$H$17,0,0,1,'Sprint 1'!DoneDays)</definedName>
    <definedName localSheetId="1" name="RealValues">OFFSET('Sprint 2'!$H$17,0,0,1,'Sprint 2'!DoneDays)</definedName>
    <definedName localSheetId="4" name="TrendDays">'Sprint 5'!$F$20</definedName>
    <definedName localSheetId="3" name="TrendDays">'Sprint 4'!$F$20</definedName>
    <definedName name="Status">#REF!</definedName>
    <definedName name="StoryName">#REF!</definedName>
    <definedName localSheetId="3" name="DoneDays">'Sprint 4'!$F$18</definedName>
    <definedName name="SprintTasks">#REF!</definedName>
    <definedName name="TrendOffset">#REF!</definedName>
    <definedName name="TrendSprintCount">#REF!</definedName>
    <definedName localSheetId="3" name="TotalEffort">'Sprint 4'!$G$17</definedName>
    <definedName name="Sprint">#REF!</definedName>
    <definedName localSheetId="3" name="ImplementationDays">'Sprint 4'!$D$16</definedName>
    <definedName localSheetId="1" name="TaskStoryID">'Sprint 2'!$D$21:$D$60</definedName>
    <definedName localSheetId="2" name="ImplementationDays">'Sprint 3'!$D$16</definedName>
    <definedName localSheetId="4" name="TaskStatus">'Sprint 5'!$F$21:$F$65</definedName>
    <definedName localSheetId="1" name="TaskStatus">'Sprint 2'!$F$21:$F$65</definedName>
    <definedName name="SprintCount">#REF!</definedName>
    <definedName name="DoneDays">#REF!</definedName>
    <definedName name="TotalEffort">#REF!</definedName>
    <definedName localSheetId="0" name="TotalEffort">'Sprint 1'!$G$17</definedName>
    <definedName name="SprintsInTrend">#REF!</definedName>
    <definedName localSheetId="4" name="SprintTasks">'Sprint 5'!$C$21:$AF$70</definedName>
    <definedName localSheetId="2" name="TaskStoryID">'Sprint 3'!$D$21:$D$60</definedName>
    <definedName localSheetId="4" name="TaskRows">'Sprint 5'!$D$18</definedName>
    <definedName localSheetId="3" name="SprintTasks">'Sprint 4'!$C$21:$AF$70</definedName>
    <definedName name="TrendDays">#REF!</definedName>
    <definedName name="ImplementationDays">#REF!</definedName>
    <definedName name="TaskRows">#REF!</definedName>
    <definedName name="ProductBacklog">#REF!</definedName>
    <definedName localSheetId="3" name="TaskStatus">'Sprint 4'!$F$21:$F$65</definedName>
    <definedName localSheetId="0" name="TaskStatus">'Sprint 1'!$F$21:$F$65</definedName>
    <definedName localSheetId="1" name="TaskRows">'Sprint 2'!$D$18</definedName>
    <definedName localSheetId="1" name="SprintTasks">'Sprint 2'!$C$21:$AF$70</definedName>
    <definedName localSheetId="2" name="TrendDays">'Sprint 3'!$F$20</definedName>
    <definedName name="TaskStatus">#REF!</definedName>
    <definedName localSheetId="0" name="TrendDays">'Sprint 1'!$F$20</definedName>
    <definedName name="TaskStoryID">#REF!</definedName>
    <definedName localSheetId="2" name="TaskRows">'Sprint 3'!$D$18</definedName>
    <definedName localSheetId="0" name="SprintTasks">'Sprint 1'!$C$21:$AF$70</definedName>
    <definedName localSheetId="1" name="ImplementationDays">'Sprint 2'!$D$16</definedName>
    <definedName localSheetId="0" name="TaskStoryID">'Sprint 1'!$D$21:$D$60</definedName>
    <definedName localSheetId="0" name="TaskRows">'Sprint 1'!$D$18</definedName>
    <definedName localSheetId="2" name="DoneDays">'Sprint 3'!$F$18</definedName>
    <definedName localSheetId="2" name="SprintTasks">'Sprint 3'!$C$21:$AF$70</definedName>
    <definedName localSheetId="0" name="DoneDays">'Sprint 1'!$F$18</definedName>
    <definedName localSheetId="3" name="TaskRows">'Sprint 4'!$D$18</definedName>
    <definedName localSheetId="1" name="DoneDays">'Sprint 2'!$F$18</definedName>
    <definedName localSheetId="2" name="TotalEffort">'Sprint 3'!$G$17</definedName>
    <definedName localSheetId="4" name="ImplementationDays">'Sprint 5'!$D$16</definedName>
    <definedName localSheetId="4" name="TaskStoryID">'Sprint 5'!$D$21:$D$60</definedName>
    <definedName localSheetId="2" name="TaskStatus">'Sprint 3'!$F$21:$F$65</definedName>
    <definedName localSheetId="0" name="ImplementationDays">'Sprint 1'!$D$16</definedName>
    <definedName localSheetId="4" name="DoneDays">'Sprint 5'!$F$18</definedName>
    <definedName localSheetId="1" name="TrendDays">'Sprint 2'!$F$20</definedName>
    <definedName localSheetId="3" name="TaskStoryID">'Sprint 4'!$D$21:$D$60</definedName>
    <definedName localSheetId="4" name="TotalEffort">'Sprint 5'!$G$17</definedName>
    <definedName localSheetId="1" name="TotalEffort">'Sprint 2'!$G$17</definedName>
  </definedNames>
  <calcPr/>
  <extLst>
    <ext uri="GoogleSheetsCustomDataVersion2">
      <go:sheetsCustomData xmlns:go="http://customooxmlschemas.google.com/" r:id="rId9" roundtripDataChecksum="6Hs6bx1uiDdsGkWQh4vSqcXxa4334OEH+u4154yNeK0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6">
      <text>
        <t xml:space="preserve">======
ID#AAAB5UM79rE
Petri Heiramo    (2026-04-09 16:44:54)
Count only active working and implementation days. Do not include Planning Day or Sprint Review.
E.g. a 4-week Sprint would most likely have 18 implementation days.</t>
      </text>
    </comment>
  </commentList>
  <extLst>
    <ext uri="GoogleSheetsCustomDataVersion2">
      <go:sheetsCustomData xmlns:go="http://customooxmlschemas.google.com/" r:id="rId1" roundtripDataSignature="AMtx7mgYd8cVUJA0ryATLUN3LmGDEKbTC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6">
      <text>
        <t xml:space="preserve">======
ID#AAAB5UM79rM
Petri Heiramo    (2026-04-09 16:44:54)
Count only active working and implementation days. Do not include Planning Day or Sprint Review.
E.g. a 4-week Sprint would most likely have 18 implementation days.</t>
      </text>
    </comment>
  </commentList>
  <extLst>
    <ext uri="GoogleSheetsCustomDataVersion2">
      <go:sheetsCustomData xmlns:go="http://customooxmlschemas.google.com/" r:id="rId1" roundtripDataSignature="AMtx7mh0sqmsrWk8O8WISdj/VhOd8QIrUw=="/>
    </ext>
  </extLst>
</comments>
</file>

<file path=xl/sharedStrings.xml><?xml version="1.0" encoding="utf-8"?>
<sst xmlns="http://schemas.openxmlformats.org/spreadsheetml/2006/main" count="355" uniqueCount="127">
  <si>
    <t>Nombre del Proyecto:</t>
  </si>
  <si>
    <t>Sistema de Generación Óptima de Horarios Académicos</t>
  </si>
  <si>
    <t>Dueño del Proyecto</t>
  </si>
  <si>
    <t>Gerente del Proyecto:</t>
  </si>
  <si>
    <t>Duración del Sprint</t>
  </si>
  <si>
    <t>Esfuerzo</t>
  </si>
  <si>
    <t>Faltante en los días siguientes…</t>
  </si>
  <si>
    <t>Tendencia calculada en los últimos</t>
  </si>
  <si>
    <t>Días</t>
  </si>
  <si>
    <t>Totales</t>
  </si>
  <si>
    <t>Task rows</t>
  </si>
  <si>
    <t>Done days</t>
  </si>
  <si>
    <t>Warning! These are necessary</t>
  </si>
  <si>
    <t>Trend</t>
  </si>
  <si>
    <t>template rows</t>
  </si>
  <si>
    <t>Trend Days</t>
  </si>
  <si>
    <t>ID Tarea</t>
  </si>
  <si>
    <t>Tarea</t>
  </si>
  <si>
    <t>ID Historia</t>
  </si>
  <si>
    <t>Responsable</t>
  </si>
  <si>
    <t>Estado</t>
  </si>
  <si>
    <t>Est.</t>
  </si>
  <si>
    <t>T-01.1</t>
  </si>
  <si>
    <t>Diseñar modelo de datos Course en MongoDB (nombre, código, créditos, prerrequisitos, tipoAula)</t>
  </si>
  <si>
    <t>HU-01</t>
  </si>
  <si>
    <t>Juan Carlos</t>
  </si>
  <si>
    <t>Por Hacer</t>
  </si>
  <si>
    <t>T-01.2</t>
  </si>
  <si>
    <t>Implementar endpoint POST /api/courses con validación de campos obligatorios</t>
  </si>
  <si>
    <t>T-01.3</t>
  </si>
  <si>
    <t>Implementar endpoints GET, PUT, DELETE /api/courses/:id</t>
  </si>
  <si>
    <t>Tatiana</t>
  </si>
  <si>
    <t>T-01.4</t>
  </si>
  <si>
    <t>Desarrollar componente React "Formulario de Curso" con campos y validaciones frontend</t>
  </si>
  <si>
    <t>T-01.5</t>
  </si>
  <si>
    <t>Desarrollar vista listado de cursos con opciones de edición y eliminación</t>
  </si>
  <si>
    <t>Alexandra</t>
  </si>
  <si>
    <t>T-02.1</t>
  </si>
  <si>
    <t>Diseñar modelo Teacher en MongoDB (nombre, correo, disponibilidad: arreglo franjas día-hora)</t>
  </si>
  <si>
    <t>HU-02</t>
  </si>
  <si>
    <t>T-02.2</t>
  </si>
  <si>
    <t>Implementar endpoints CRUD /api/teachers con validación de correo único</t>
  </si>
  <si>
    <t>Yenifer</t>
  </si>
  <si>
    <t>T-02.3</t>
  </si>
  <si>
    <t>Desarrollar componente React para registro y edición de disponibilidad horaria (selector día/hora)</t>
  </si>
  <si>
    <t>T-02.4</t>
  </si>
  <si>
    <t>Desarrollar vista listado de docentes con disponibilidad resumida</t>
  </si>
  <si>
    <t>Talita</t>
  </si>
  <si>
    <t>T-03.1</t>
  </si>
  <si>
    <t>Diseñar modelo Classroom en MongoDB (código, capacidad, tipo)</t>
  </si>
  <si>
    <t>HU-03</t>
  </si>
  <si>
    <t>T-03.2</t>
  </si>
  <si>
    <t>Implementar endpoints CRUD /api/classrooms</t>
  </si>
  <si>
    <t>T-03.3</t>
  </si>
  <si>
    <t>Desarrollar componente React "Formulario de Aula" con validaciones (capacidad &gt; 0, tipo requerido)</t>
  </si>
  <si>
    <t>T-03.4</t>
  </si>
  <si>
    <t>Desarrollar vista catálogo de aulas con filtro por tipo</t>
  </si>
  <si>
    <t>T-04.1</t>
  </si>
  <si>
    <t>Diseñar modelo Student en MongoDB (código, nombre, correo, cursosAprobados[])</t>
  </si>
  <si>
    <t>HU-04</t>
  </si>
  <si>
    <t>T-04.2</t>
  </si>
  <si>
    <t>Implementar endpoints CRUD /api/students</t>
  </si>
  <si>
    <t>T-04.3</t>
  </si>
  <si>
    <t>Desarrollar componente React "Formulario de Estudiante" con selección múltiple de cursos aprobados</t>
  </si>
  <si>
    <t>T-04.4</t>
  </si>
  <si>
    <t>Desarrollar vista listado de estudiantes con búsqueda por código o nombre</t>
  </si>
  <si>
    <t>T-05.1</t>
  </si>
  <si>
    <t>Implementar servicio backend de validación de prerrequisitos (recorrido del grafo de dependencias)</t>
  </si>
  <si>
    <t>HU-05</t>
  </si>
  <si>
    <t>T-05.2</t>
  </si>
  <si>
    <t>Integrar validación en endpoint POST /api/enrollments; respuesta 422 con detalle del prerrequisito faltante</t>
  </si>
  <si>
    <t>T-05.3</t>
  </si>
  <si>
    <t>Desarrollar interfaz de matrícula con selector de cursos e indicadores de estado de prerrequisito</t>
  </si>
  <si>
    <t>T-05.4</t>
  </si>
  <si>
    <t>Mostrar mensaje de error específico en UI cuando se intenta matricular curso con prerrequisito incumplido</t>
  </si>
  <si>
    <t>T-06.1</t>
  </si>
  <si>
    <t>Implementar servicio de cálculo de créditos totales por estudiante en la matrícula activa</t>
  </si>
  <si>
    <t>HU-06</t>
  </si>
  <si>
    <t>T-06.2</t>
  </si>
  <si>
    <t>Integrar validación de créditos en endpoint de matrícula; bloquear si &lt; 20 o &gt; 22</t>
  </si>
  <si>
    <t>T-06.3</t>
  </si>
  <si>
    <t>Mostrar contador de créditos en tiempo real en la UI de matrícula</t>
  </si>
  <si>
    <t>T-07.1</t>
  </si>
  <si>
    <t>Diseñar estructura CSP: variables (curso-franja-docente-aula), dominios y restricciones R01–R06</t>
  </si>
  <si>
    <t>HU-07</t>
  </si>
  <si>
    <t>T-07.2</t>
  </si>
  <si>
    <t>Implementar algoritmo de backtracking con propagación de restricciones (AC-3) en Node.js</t>
  </si>
  <si>
    <t>T-07.3</t>
  </si>
  <si>
    <t>Implementar restricción R03: no-solapamiento de docente (mismo docente, misma franja)</t>
  </si>
  <si>
    <t>T-07.4</t>
  </si>
  <si>
    <t>Implementar restricción R04: no-solapamiento de aula (un aula, una asignación por franja)</t>
  </si>
  <si>
    <t>T-07.5</t>
  </si>
  <si>
    <t>Implementar restricción R05: capacidad de aula ≥ número de matriculados en el curso</t>
  </si>
  <si>
    <t>T-07.6</t>
  </si>
  <si>
    <t>Implementar restricción R06: asignación solo en franjas declaradas disponibles por el docente</t>
  </si>
  <si>
    <t>T-07.7</t>
  </si>
  <si>
    <t>Exponer endpoint POST /api/schedules/generate que invoque el motor CSP y persista el resultado</t>
  </si>
  <si>
    <t>T-08.1</t>
  </si>
  <si>
    <t>Implementar endpoint GET /api/schedules/student/:id (horario del estudiante por matrícula)</t>
  </si>
  <si>
    <t>HU-08</t>
  </si>
  <si>
    <t>T-08.2</t>
  </si>
  <si>
    <t>Desarrollar componente React "GrillaHorario" (semana × franjas) con bloques de curso, docente y aula</t>
  </si>
  <si>
    <t>T-08.3</t>
  </si>
  <si>
    <t>Implementar selector de estudiante en vista de horario para consulta por coordinador</t>
  </si>
  <si>
    <t>T-09.1</t>
  </si>
  <si>
    <t>Implementar endpoint GET /api/schedules/teacher/:id que retorne el horario del docente</t>
  </si>
  <si>
    <t>HU-09</t>
  </si>
  <si>
    <t>T-09.2</t>
  </si>
  <si>
    <t>Desarrollar vista "Horario Docente" reutilizando GrillaHorario con datos del docente</t>
  </si>
  <si>
    <t>T-10.1</t>
  </si>
  <si>
    <t>Implementar endpoint GET /api/schedules/classroom/:id que retorne ocupación del aula por franja</t>
  </si>
  <si>
    <t>HU-10</t>
  </si>
  <si>
    <t>T-10.2</t>
  </si>
  <si>
    <t>Desarrollar vista "Ocupación de Aulas" con selector de aula y grilla de ocupación semanal</t>
  </si>
  <si>
    <t>T-11.1</t>
  </si>
  <si>
    <t>Diseñar modelo User en MongoDB (usuario, correo, contraseña hasheada con bcrypt, rol)</t>
  </si>
  <si>
    <t>HU-11</t>
  </si>
  <si>
    <t>T-11.2</t>
  </si>
  <si>
    <t>Implementar endpoint POST /api/auth/login con generación de JWT (válido 8h)</t>
  </si>
  <si>
    <t>T-11.3</t>
  </si>
  <si>
    <t>Implementar middleware de autenticación JWT en rutas protegidas del backend</t>
  </si>
  <si>
    <t>T-11.4</t>
  </si>
  <si>
    <t>Desarrollar pantalla de Login en React con validación de formulario y manejo de token en contexto</t>
  </si>
  <si>
    <t>Implementar módulo de autenticación con JWT (login/logout/refresh)</t>
  </si>
  <si>
    <t>Implementar roles: Administrador y Visualizador con permisos diferenciados</t>
  </si>
  <si>
    <t>T-10.3</t>
  </si>
  <si>
    <t>Configurar HTTPS y protección de datos almacenados (cifrado)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</si>
</sst>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Sprint &quot;#&quot; Backlog&quot;"/>
  </numFmts>
  <fonts count="12">
    <font>
      <sz val="10.0"/>
      <color rgb="FF000000"/>
      <name val="Arial"/>
      <scheme val="minor"/>
    </font>
    <font>
      <sz val="10.0"/>
      <color theme="1"/>
      <name val="Arial"/>
    </font>
    <font>
      <sz val="14.0"/>
      <color theme="1"/>
      <name val="Arial"/>
    </font>
    <font/>
    <font>
      <color theme="1"/>
      <name val="Arial"/>
      <scheme val="minor"/>
    </font>
    <font>
      <b/>
      <sz val="10.0"/>
      <color theme="1"/>
      <name val="Arial"/>
    </font>
    <font>
      <b/>
      <sz val="10.0"/>
      <color rgb="FFFF0000"/>
      <name val="Arial"/>
    </font>
    <font>
      <sz val="11.0"/>
      <color rgb="FF000000"/>
      <name val="Arial"/>
    </font>
    <font>
      <b/>
      <color theme="1"/>
      <name val="Arial"/>
    </font>
    <font>
      <color theme="1"/>
      <name val="Arial"/>
    </font>
    <font>
      <b/>
      <sz val="11.0"/>
      <color rgb="FF000000"/>
      <name val="Arial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CC99"/>
        <bgColor rgb="FFFFCC99"/>
      </patternFill>
    </fill>
  </fills>
  <borders count="16">
    <border/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 shrinkToFit="0" vertical="center" wrapText="1"/>
    </xf>
    <xf borderId="2" fillId="2" fontId="1" numFmtId="0" xfId="0" applyBorder="1" applyFont="1"/>
    <xf borderId="2" fillId="2" fontId="2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center" vertical="center"/>
    </xf>
    <xf borderId="4" fillId="2" fontId="2" numFmtId="0" xfId="0" applyAlignment="1" applyBorder="1" applyFont="1">
      <alignment horizontal="center" shrinkToFit="0" vertical="center" wrapText="1"/>
    </xf>
    <xf borderId="5" fillId="2" fontId="1" numFmtId="0" xfId="0" applyBorder="1" applyFont="1"/>
    <xf borderId="6" fillId="2" fontId="2" numFmtId="0" xfId="0" applyAlignment="1" applyBorder="1" applyFont="1">
      <alignment horizontal="left" readingOrder="0" shrinkToFit="0" vertical="center" wrapText="1"/>
    </xf>
    <xf borderId="7" fillId="0" fontId="3" numFmtId="0" xfId="0" applyBorder="1" applyFont="1"/>
    <xf borderId="8" fillId="0" fontId="3" numFmtId="0" xfId="0" applyBorder="1" applyFont="1"/>
    <xf borderId="5" fillId="2" fontId="2" numFmtId="0" xfId="0" applyAlignment="1" applyBorder="1" applyFont="1">
      <alignment horizontal="center" shrinkToFit="0" vertical="center" wrapText="1"/>
    </xf>
    <xf borderId="5" fillId="2" fontId="2" numFmtId="0" xfId="0" applyAlignment="1" applyBorder="1" applyFont="1">
      <alignment horizontal="center" vertical="center"/>
    </xf>
    <xf borderId="9" fillId="2" fontId="2" numFmtId="0" xfId="0" applyAlignment="1" applyBorder="1" applyFont="1">
      <alignment horizontal="center" vertical="center"/>
    </xf>
    <xf borderId="6" fillId="2" fontId="2" numFmtId="0" xfId="0" applyAlignment="1" applyBorder="1" applyFont="1">
      <alignment horizontal="left" shrinkToFit="0" vertical="center" wrapText="1"/>
    </xf>
    <xf borderId="10" fillId="2" fontId="2" numFmtId="0" xfId="0" applyAlignment="1" applyBorder="1" applyFont="1">
      <alignment horizontal="center" shrinkToFit="0" vertical="center" wrapText="1"/>
    </xf>
    <xf borderId="11" fillId="2" fontId="1" numFmtId="0" xfId="0" applyBorder="1" applyFont="1"/>
    <xf borderId="11" fillId="2" fontId="2" numFmtId="0" xfId="0" applyAlignment="1" applyBorder="1" applyFont="1">
      <alignment horizontal="left" shrinkToFit="0" vertical="center" wrapText="1"/>
    </xf>
    <xf borderId="11" fillId="2" fontId="2" numFmtId="0" xfId="0" applyAlignment="1" applyBorder="1" applyFont="1">
      <alignment horizontal="center" shrinkToFit="0" vertical="center" wrapText="1"/>
    </xf>
    <xf borderId="11" fillId="2" fontId="2" numFmtId="0" xfId="0" applyAlignment="1" applyBorder="1" applyFont="1">
      <alignment horizontal="center" vertical="center"/>
    </xf>
    <xf borderId="12" fillId="2" fontId="2" numFmtId="0" xfId="0" applyAlignment="1" applyBorder="1" applyFont="1">
      <alignment horizontal="center" vertical="center"/>
    </xf>
    <xf borderId="0" fillId="0" fontId="2" numFmtId="164" xfId="0" applyAlignment="1" applyFont="1" applyNumberFormat="1">
      <alignment horizontal="left"/>
    </xf>
    <xf borderId="0" fillId="0" fontId="2" numFmtId="164" xfId="0" applyAlignment="1" applyFont="1" applyNumberFormat="1">
      <alignment horizontal="center"/>
    </xf>
    <xf borderId="0" fillId="0" fontId="1" numFmtId="0" xfId="0" applyFont="1"/>
    <xf borderId="0" fillId="0" fontId="4" numFmtId="0" xfId="0" applyFont="1"/>
    <xf borderId="5" fillId="3" fontId="5" numFmtId="0" xfId="0" applyBorder="1" applyFill="1" applyFont="1"/>
    <xf borderId="0" fillId="0" fontId="1" numFmtId="0" xfId="0" applyAlignment="1" applyFont="1">
      <alignment horizontal="center" readingOrder="0"/>
    </xf>
    <xf borderId="5" fillId="3" fontId="1" numFmtId="0" xfId="0" applyBorder="1" applyFont="1"/>
    <xf borderId="0" fillId="0" fontId="5" numFmtId="0" xfId="0" applyAlignment="1" applyFont="1">
      <alignment horizontal="center"/>
    </xf>
    <xf borderId="0" fillId="0" fontId="6" numFmtId="0" xfId="0" applyFont="1"/>
    <xf borderId="5" fillId="3" fontId="5" numFmtId="0" xfId="0" applyAlignment="1" applyBorder="1" applyFont="1">
      <alignment horizontal="center"/>
    </xf>
    <xf borderId="13" fillId="2" fontId="7" numFmtId="0" xfId="0" applyAlignment="1" applyBorder="1" applyFont="1">
      <alignment readingOrder="0" shrinkToFit="0" vertical="top" wrapText="0"/>
    </xf>
    <xf borderId="13" fillId="2" fontId="7" numFmtId="0" xfId="0" applyAlignment="1" applyBorder="1" applyFont="1">
      <alignment readingOrder="0" vertical="top"/>
    </xf>
    <xf borderId="14" fillId="0" fontId="7" numFmtId="0" xfId="0" applyAlignment="1" applyBorder="1" applyFont="1">
      <alignment horizontal="center"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/>
    </xf>
    <xf borderId="14" fillId="0" fontId="8" numFmtId="0" xfId="0" applyAlignment="1" applyBorder="1" applyFont="1">
      <alignment horizontal="center" readingOrder="0"/>
    </xf>
    <xf borderId="0" fillId="0" fontId="9" numFmtId="0" xfId="0" applyAlignment="1" applyFont="1">
      <alignment horizontal="center" readingOrder="0" shrinkToFit="0" vertical="bottom" wrapText="0"/>
    </xf>
    <xf borderId="0" fillId="0" fontId="9" numFmtId="0" xfId="0" applyAlignment="1" applyFont="1">
      <alignment horizontal="right" readingOrder="0" shrinkToFit="0" vertical="bottom" wrapText="0"/>
    </xf>
    <xf borderId="14" fillId="0" fontId="10" numFmtId="0" xfId="0" applyAlignment="1" applyBorder="1" applyFont="1">
      <alignment horizontal="center" readingOrder="0" shrinkToFit="0" vertical="bottom" wrapText="0"/>
    </xf>
    <xf borderId="14" fillId="0" fontId="7" numFmtId="0" xfId="0" applyAlignment="1" applyBorder="1" applyFont="1">
      <alignment horizontal="left" readingOrder="0" shrinkToFit="0" vertical="bottom" wrapText="0"/>
    </xf>
    <xf borderId="0" fillId="0" fontId="11" numFmtId="0" xfId="0" applyAlignment="1" applyFont="1">
      <alignment readingOrder="0" shrinkToFit="0" vertical="bottom" wrapText="0"/>
    </xf>
    <xf borderId="0" fillId="0" fontId="11" numFmtId="0" xfId="0" applyAlignment="1" applyFont="1">
      <alignment horizontal="center" readingOrder="0" shrinkToFit="0" vertical="bottom" wrapText="0"/>
    </xf>
    <xf borderId="0" fillId="0" fontId="2" numFmtId="164" xfId="0" applyAlignment="1" applyFont="1" applyNumberFormat="1">
      <alignment horizontal="left" readingOrder="0"/>
    </xf>
    <xf borderId="15" fillId="0" fontId="10" numFmtId="0" xfId="0" applyAlignment="1" applyBorder="1" applyFont="1">
      <alignment horizontal="center" readingOrder="0" shrinkToFit="0" vertical="bottom" wrapText="0"/>
    </xf>
    <xf borderId="15" fillId="0" fontId="7" numFmtId="0" xfId="0" applyAlignment="1" applyBorder="1" applyFont="1">
      <alignment readingOrder="0" shrinkToFit="0" vertical="bottom" wrapText="0"/>
    </xf>
    <xf borderId="15" fillId="0" fontId="8" numFmtId="0" xfId="0" applyAlignment="1" applyBorder="1" applyFont="1">
      <alignment horizontal="center" vertical="bottom"/>
    </xf>
    <xf borderId="15" fillId="0" fontId="9" numFmtId="0" xfId="0" applyAlignment="1" applyBorder="1" applyFont="1">
      <alignment vertical="bottom"/>
    </xf>
    <xf borderId="14" fillId="0" fontId="9" numFmtId="0" xfId="0" applyAlignment="1" applyBorder="1" applyFont="1">
      <alignment horizontal="center" readingOrder="0"/>
    </xf>
  </cellXfs>
  <cellStyles count="1">
    <cellStyle xfId="0" name="Normal" builtinId="0"/>
  </cellStyles>
  <dxfs count="2">
    <dxf>
      <font/>
      <fill>
        <patternFill patternType="solid">
          <fgColor rgb="FFCCFFCC"/>
          <bgColor rgb="FFCCFFCC"/>
        </patternFill>
      </fill>
      <border/>
    </dxf>
    <dxf>
      <font/>
      <fill>
        <patternFill patternType="solid">
          <fgColor rgb="FFFFFF99"/>
          <bgColor rgb="FFFFFF99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7845828933474128"/>
          <c:y val="0.08823561091025287"/>
          <c:w val="0.8173178458289335"/>
          <c:h val="0.8308853360715478"/>
        </c:manualLayout>
      </c:layout>
      <c:barChart>
        <c:barDir val="col"/>
        <c:ser>
          <c:idx val="0"/>
          <c:order val="0"/>
          <c:tx>
            <c:v>Daily Progress</c:v>
          </c:tx>
          <c:spPr>
            <a:solidFill>
              <a:srgbClr val="9999FF"/>
            </a:solidFill>
            <a:ln cmpd="sng">
              <a:solidFill>
                <a:srgbClr val="000000"/>
              </a:solidFill>
            </a:ln>
          </c:spPr>
          <c:val>
            <c:numRef>
              <c:f>'Sprint 1'!$H$17:$AF$17</c:f>
              <c:numCache/>
            </c:numRef>
          </c:val>
        </c:ser>
        <c:axId val="1648044216"/>
        <c:axId val="445542497"/>
      </c:barChart>
      <c:lineChart>
        <c:ser>
          <c:idx val="1"/>
          <c:order val="1"/>
          <c:tx>
            <c:v>Ideal Progress</c:v>
          </c:tx>
          <c:spPr>
            <a:ln cmpd="sng" w="9525">
              <a:solidFill>
                <a:srgbClr val="969696">
                  <a:alpha val="100000"/>
                </a:srgbClr>
              </a:solidFill>
              <a:prstDash val="solid"/>
            </a:ln>
          </c:spPr>
          <c:marker>
            <c:symbol val="none"/>
          </c:marker>
          <c:val>
            <c:numRef>
              <c:f>'Sprint 1'!$H$18:$AF$18</c:f>
              <c:numCache/>
            </c:numRef>
          </c:val>
          <c:smooth val="0"/>
        </c:ser>
        <c:ser>
          <c:idx val="2"/>
          <c:order val="2"/>
          <c:tx>
            <c:v>Current Trend</c:v>
          </c:tx>
          <c:spPr>
            <a:ln cmpd="sng">
              <a:solidFill>
                <a:srgbClr val="0000FF">
                  <a:alpha val="100000"/>
                </a:srgbClr>
              </a:solidFill>
              <a:prstDash val="solid"/>
            </a:ln>
          </c:spPr>
          <c:marker>
            <c:symbol val="none"/>
          </c:marker>
          <c:val>
            <c:numRef>
              <c:f>'Sprint 1'!$H$19:$AF$19</c:f>
              <c:numCache/>
            </c:numRef>
          </c:val>
          <c:smooth val="0"/>
        </c:ser>
        <c:axId val="1648044216"/>
        <c:axId val="445542497"/>
      </c:lineChart>
      <c:catAx>
        <c:axId val="16480442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5542497"/>
      </c:catAx>
      <c:valAx>
        <c:axId val="445542497"/>
        <c:scaling>
          <c:orientation val="minMax"/>
          <c:min val="0.0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 sz="8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800">
                    <a:solidFill>
                      <a:srgbClr val="000000"/>
                    </a:solidFill>
                    <a:latin typeface="Arial"/>
                  </a:rPr>
                  <a:t>Work Remaining (h)</a:t>
                </a:r>
              </a:p>
            </c:rich>
          </c:tx>
          <c:layout>
            <c:manualLayout>
              <c:xMode val="edge"/>
              <c:yMode val="edge"/>
              <c:x val="0.13938754040042517"/>
              <c:y val="0.1397066543152694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b="0" i="0" sz="500">
                <a:solidFill>
                  <a:srgbClr val="000000"/>
                </a:solidFill>
                <a:latin typeface="Arial"/>
              </a:defRPr>
            </a:pPr>
          </a:p>
        </c:txPr>
        <c:crossAx val="1648044216"/>
      </c:valAx>
      <c:spPr>
        <a:solidFill>
          <a:srgbClr val="C0C0C0"/>
        </a:solidFill>
      </c:spPr>
    </c:plotArea>
    <c:legend>
      <c:legendPos val="l"/>
      <c:layout>
        <c:manualLayout>
          <c:xMode val="edge"/>
          <c:yMode val="edge"/>
          <c:x val="0.008447756013969328"/>
          <c:y val="0.0661764705882353"/>
        </c:manualLayout>
      </c:layout>
      <c:overlay val="0"/>
      <c:txPr>
        <a:bodyPr/>
        <a:lstStyle/>
        <a:p>
          <a:pPr lvl="0">
            <a:defRPr b="0" i="0" sz="700">
              <a:solidFill>
                <a:srgbClr val="000000"/>
              </a:solidFill>
              <a:latin typeface="Arial"/>
            </a:defRPr>
          </a:pPr>
        </a:p>
      </c:txPr>
    </c:legend>
    <c:plotVisOnly val="0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7845828933474128"/>
          <c:y val="0.08823561091025287"/>
          <c:w val="0.8173178458289335"/>
          <c:h val="0.8308853360715478"/>
        </c:manualLayout>
      </c:layout>
      <c:barChart>
        <c:barDir val="col"/>
        <c:ser>
          <c:idx val="0"/>
          <c:order val="0"/>
          <c:tx>
            <c:v>Daily Progress</c:v>
          </c:tx>
          <c:spPr>
            <a:solidFill>
              <a:srgbClr val="9999FF"/>
            </a:solidFill>
            <a:ln cmpd="sng">
              <a:solidFill>
                <a:srgbClr val="000000"/>
              </a:solidFill>
            </a:ln>
          </c:spPr>
          <c:val>
            <c:numRef>
              <c:f>'Sprint 2'!$H$17:$AF$17</c:f>
              <c:numCache/>
            </c:numRef>
          </c:val>
        </c:ser>
        <c:axId val="1094356936"/>
        <c:axId val="1173636939"/>
      </c:barChart>
      <c:lineChart>
        <c:ser>
          <c:idx val="1"/>
          <c:order val="1"/>
          <c:tx>
            <c:v>Ideal Progress</c:v>
          </c:tx>
          <c:spPr>
            <a:ln cmpd="sng" w="9525">
              <a:solidFill>
                <a:srgbClr val="969696">
                  <a:alpha val="100000"/>
                </a:srgbClr>
              </a:solidFill>
              <a:prstDash val="solid"/>
            </a:ln>
          </c:spPr>
          <c:marker>
            <c:symbol val="none"/>
          </c:marker>
          <c:val>
            <c:numRef>
              <c:f>'Sprint 2'!$H$18:$AF$18</c:f>
              <c:numCache/>
            </c:numRef>
          </c:val>
          <c:smooth val="0"/>
        </c:ser>
        <c:ser>
          <c:idx val="2"/>
          <c:order val="2"/>
          <c:tx>
            <c:v>Current Trend</c:v>
          </c:tx>
          <c:spPr>
            <a:ln cmpd="sng">
              <a:solidFill>
                <a:srgbClr val="0000FF">
                  <a:alpha val="100000"/>
                </a:srgbClr>
              </a:solidFill>
              <a:prstDash val="solid"/>
            </a:ln>
          </c:spPr>
          <c:marker>
            <c:symbol val="none"/>
          </c:marker>
          <c:val>
            <c:numRef>
              <c:f>'Sprint 2'!$H$19:$AF$19</c:f>
              <c:numCache/>
            </c:numRef>
          </c:val>
          <c:smooth val="0"/>
        </c:ser>
        <c:axId val="1094356936"/>
        <c:axId val="1173636939"/>
      </c:lineChart>
      <c:catAx>
        <c:axId val="10943569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3636939"/>
      </c:catAx>
      <c:valAx>
        <c:axId val="1173636939"/>
        <c:scaling>
          <c:orientation val="minMax"/>
          <c:min val="0.0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 sz="8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800">
                    <a:solidFill>
                      <a:srgbClr val="000000"/>
                    </a:solidFill>
                    <a:latin typeface="Arial"/>
                  </a:rPr>
                  <a:t>Work Remaining (h)</a:t>
                </a:r>
              </a:p>
            </c:rich>
          </c:tx>
          <c:layout>
            <c:manualLayout>
              <c:xMode val="edge"/>
              <c:yMode val="edge"/>
              <c:x val="0.13938754040042517"/>
              <c:y val="0.1397066543152694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b="0" i="0" sz="500">
                <a:solidFill>
                  <a:srgbClr val="000000"/>
                </a:solidFill>
                <a:latin typeface="Arial"/>
              </a:defRPr>
            </a:pPr>
          </a:p>
        </c:txPr>
        <c:crossAx val="1094356936"/>
      </c:valAx>
      <c:spPr>
        <a:solidFill>
          <a:srgbClr val="C0C0C0"/>
        </a:solidFill>
      </c:spPr>
    </c:plotArea>
    <c:legend>
      <c:legendPos val="l"/>
      <c:layout>
        <c:manualLayout>
          <c:xMode val="edge"/>
          <c:yMode val="edge"/>
          <c:x val="0.008447756013969328"/>
          <c:y val="0.0661764705882353"/>
        </c:manualLayout>
      </c:layout>
      <c:overlay val="0"/>
      <c:txPr>
        <a:bodyPr/>
        <a:lstStyle/>
        <a:p>
          <a:pPr lvl="0">
            <a:defRPr b="0" i="0" sz="700">
              <a:solidFill>
                <a:srgbClr val="000000"/>
              </a:solidFill>
              <a:latin typeface="Arial"/>
            </a:defRPr>
          </a:pPr>
        </a:p>
      </c:txPr>
    </c:legend>
    <c:plotVisOnly val="0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7845828933474128"/>
          <c:y val="0.08823561091025287"/>
          <c:w val="0.8173178458289335"/>
          <c:h val="0.8308853360715478"/>
        </c:manualLayout>
      </c:layout>
      <c:barChart>
        <c:barDir val="col"/>
        <c:ser>
          <c:idx val="0"/>
          <c:order val="0"/>
          <c:tx>
            <c:v>Daily Progress</c:v>
          </c:tx>
          <c:spPr>
            <a:solidFill>
              <a:srgbClr val="9999FF"/>
            </a:solidFill>
            <a:ln cmpd="sng">
              <a:solidFill>
                <a:srgbClr val="000000"/>
              </a:solidFill>
            </a:ln>
          </c:spPr>
          <c:val>
            <c:numRef>
              <c:f>'Sprint 3'!$H$17:$AF$17</c:f>
              <c:numCache/>
            </c:numRef>
          </c:val>
        </c:ser>
        <c:axId val="12214327"/>
        <c:axId val="1654956752"/>
      </c:barChart>
      <c:lineChart>
        <c:ser>
          <c:idx val="1"/>
          <c:order val="1"/>
          <c:tx>
            <c:v>Ideal Progress</c:v>
          </c:tx>
          <c:spPr>
            <a:ln cmpd="sng" w="9525">
              <a:solidFill>
                <a:srgbClr val="969696">
                  <a:alpha val="100000"/>
                </a:srgbClr>
              </a:solidFill>
              <a:prstDash val="solid"/>
            </a:ln>
          </c:spPr>
          <c:marker>
            <c:symbol val="none"/>
          </c:marker>
          <c:val>
            <c:numRef>
              <c:f>'Sprint 3'!$H$18:$AF$18</c:f>
              <c:numCache/>
            </c:numRef>
          </c:val>
          <c:smooth val="0"/>
        </c:ser>
        <c:ser>
          <c:idx val="2"/>
          <c:order val="2"/>
          <c:tx>
            <c:v>Current Trend</c:v>
          </c:tx>
          <c:spPr>
            <a:ln cmpd="sng">
              <a:solidFill>
                <a:srgbClr val="0000FF">
                  <a:alpha val="100000"/>
                </a:srgbClr>
              </a:solidFill>
              <a:prstDash val="solid"/>
            </a:ln>
          </c:spPr>
          <c:marker>
            <c:symbol val="none"/>
          </c:marker>
          <c:val>
            <c:numRef>
              <c:f>'Sprint 3'!$H$19:$AF$19</c:f>
              <c:numCache/>
            </c:numRef>
          </c:val>
          <c:smooth val="0"/>
        </c:ser>
        <c:axId val="12214327"/>
        <c:axId val="1654956752"/>
      </c:lineChart>
      <c:catAx>
        <c:axId val="122143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4956752"/>
      </c:catAx>
      <c:valAx>
        <c:axId val="1654956752"/>
        <c:scaling>
          <c:orientation val="minMax"/>
          <c:min val="0.0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 sz="8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800">
                    <a:solidFill>
                      <a:srgbClr val="000000"/>
                    </a:solidFill>
                    <a:latin typeface="Arial"/>
                  </a:rPr>
                  <a:t>Work Remaining (h)</a:t>
                </a:r>
              </a:p>
            </c:rich>
          </c:tx>
          <c:layout>
            <c:manualLayout>
              <c:xMode val="edge"/>
              <c:yMode val="edge"/>
              <c:x val="0.13938754040042517"/>
              <c:y val="0.1397066543152694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b="0" i="0" sz="500">
                <a:solidFill>
                  <a:srgbClr val="000000"/>
                </a:solidFill>
                <a:latin typeface="Arial"/>
              </a:defRPr>
            </a:pPr>
          </a:p>
        </c:txPr>
        <c:crossAx val="12214327"/>
      </c:valAx>
      <c:spPr>
        <a:solidFill>
          <a:srgbClr val="C0C0C0"/>
        </a:solidFill>
      </c:spPr>
    </c:plotArea>
    <c:legend>
      <c:legendPos val="l"/>
      <c:layout>
        <c:manualLayout>
          <c:xMode val="edge"/>
          <c:yMode val="edge"/>
          <c:x val="0.008447756013969328"/>
          <c:y val="0.0661764705882353"/>
        </c:manualLayout>
      </c:layout>
      <c:overlay val="0"/>
      <c:txPr>
        <a:bodyPr/>
        <a:lstStyle/>
        <a:p>
          <a:pPr lvl="0">
            <a:defRPr b="0" i="0" sz="700">
              <a:solidFill>
                <a:srgbClr val="000000"/>
              </a:solidFill>
              <a:latin typeface="Arial"/>
            </a:defRPr>
          </a:pPr>
        </a:p>
      </c:txPr>
    </c:legend>
    <c:plotVisOnly val="0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7845828933474128"/>
          <c:y val="0.08823561091025287"/>
          <c:w val="0.8173178458289335"/>
          <c:h val="0.8308853360715478"/>
        </c:manualLayout>
      </c:layout>
      <c:barChart>
        <c:barDir val="col"/>
        <c:ser>
          <c:idx val="0"/>
          <c:order val="0"/>
          <c:tx>
            <c:v>Daily Progress</c:v>
          </c:tx>
          <c:spPr>
            <a:solidFill>
              <a:srgbClr val="9999FF"/>
            </a:solidFill>
            <a:ln cmpd="sng">
              <a:solidFill>
                <a:srgbClr val="000000"/>
              </a:solidFill>
            </a:ln>
          </c:spPr>
          <c:val>
            <c:numRef>
              <c:f>'Sprint 4'!$H$17:$AF$17</c:f>
              <c:numCache/>
            </c:numRef>
          </c:val>
        </c:ser>
        <c:axId val="751574106"/>
        <c:axId val="433116688"/>
      </c:barChart>
      <c:lineChart>
        <c:ser>
          <c:idx val="1"/>
          <c:order val="1"/>
          <c:tx>
            <c:v>Ideal Progress</c:v>
          </c:tx>
          <c:spPr>
            <a:ln cmpd="sng" w="9525">
              <a:solidFill>
                <a:srgbClr val="969696">
                  <a:alpha val="100000"/>
                </a:srgbClr>
              </a:solidFill>
              <a:prstDash val="solid"/>
            </a:ln>
          </c:spPr>
          <c:marker>
            <c:symbol val="none"/>
          </c:marker>
          <c:val>
            <c:numRef>
              <c:f>'Sprint 4'!$H$18:$AF$18</c:f>
              <c:numCache/>
            </c:numRef>
          </c:val>
          <c:smooth val="0"/>
        </c:ser>
        <c:ser>
          <c:idx val="2"/>
          <c:order val="2"/>
          <c:tx>
            <c:v>Current Trend</c:v>
          </c:tx>
          <c:spPr>
            <a:ln cmpd="sng">
              <a:solidFill>
                <a:srgbClr val="0000FF">
                  <a:alpha val="100000"/>
                </a:srgbClr>
              </a:solidFill>
              <a:prstDash val="solid"/>
            </a:ln>
          </c:spPr>
          <c:marker>
            <c:symbol val="none"/>
          </c:marker>
          <c:val>
            <c:numRef>
              <c:f>'Sprint 4'!$H$19:$AF$19</c:f>
              <c:numCache/>
            </c:numRef>
          </c:val>
          <c:smooth val="0"/>
        </c:ser>
        <c:axId val="751574106"/>
        <c:axId val="433116688"/>
      </c:lineChart>
      <c:catAx>
        <c:axId val="7515741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3116688"/>
      </c:catAx>
      <c:valAx>
        <c:axId val="433116688"/>
        <c:scaling>
          <c:orientation val="minMax"/>
          <c:min val="0.0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 sz="8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800">
                    <a:solidFill>
                      <a:srgbClr val="000000"/>
                    </a:solidFill>
                    <a:latin typeface="Arial"/>
                  </a:rPr>
                  <a:t>Work Remaining (h)</a:t>
                </a:r>
              </a:p>
            </c:rich>
          </c:tx>
          <c:layout>
            <c:manualLayout>
              <c:xMode val="edge"/>
              <c:yMode val="edge"/>
              <c:x val="0.13938754040042517"/>
              <c:y val="0.1397066543152694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b="0" i="0" sz="500">
                <a:solidFill>
                  <a:srgbClr val="000000"/>
                </a:solidFill>
                <a:latin typeface="Arial"/>
              </a:defRPr>
            </a:pPr>
          </a:p>
        </c:txPr>
        <c:crossAx val="751574106"/>
      </c:valAx>
      <c:spPr>
        <a:solidFill>
          <a:srgbClr val="C0C0C0"/>
        </a:solidFill>
      </c:spPr>
    </c:plotArea>
    <c:legend>
      <c:legendPos val="l"/>
      <c:layout>
        <c:manualLayout>
          <c:xMode val="edge"/>
          <c:yMode val="edge"/>
          <c:x val="0.008447756013969328"/>
          <c:y val="0.0661764705882353"/>
        </c:manualLayout>
      </c:layout>
      <c:overlay val="0"/>
      <c:txPr>
        <a:bodyPr/>
        <a:lstStyle/>
        <a:p>
          <a:pPr lvl="0">
            <a:defRPr b="0" i="0" sz="700">
              <a:solidFill>
                <a:srgbClr val="000000"/>
              </a:solidFill>
              <a:latin typeface="Arial"/>
            </a:defRPr>
          </a:pPr>
        </a:p>
      </c:txPr>
    </c:legend>
    <c:plotVisOnly val="0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7845828933474128"/>
          <c:y val="0.08823561091025287"/>
          <c:w val="0.8173178458289335"/>
          <c:h val="0.8308853360715478"/>
        </c:manualLayout>
      </c:layout>
      <c:barChart>
        <c:barDir val="col"/>
        <c:ser>
          <c:idx val="0"/>
          <c:order val="0"/>
          <c:tx>
            <c:v>Daily Progress</c:v>
          </c:tx>
          <c:spPr>
            <a:solidFill>
              <a:srgbClr val="9999FF"/>
            </a:solidFill>
            <a:ln cmpd="sng">
              <a:solidFill>
                <a:srgbClr val="000000"/>
              </a:solidFill>
            </a:ln>
          </c:spPr>
          <c:val>
            <c:numRef>
              <c:f>'Sprint 5'!$H$17:$AF$17</c:f>
              <c:numCache/>
            </c:numRef>
          </c:val>
        </c:ser>
        <c:axId val="1988859779"/>
        <c:axId val="1551022186"/>
      </c:barChart>
      <c:lineChart>
        <c:ser>
          <c:idx val="1"/>
          <c:order val="1"/>
          <c:tx>
            <c:v>Ideal Progress</c:v>
          </c:tx>
          <c:spPr>
            <a:ln cmpd="sng" w="9525">
              <a:solidFill>
                <a:srgbClr val="969696">
                  <a:alpha val="100000"/>
                </a:srgbClr>
              </a:solidFill>
              <a:prstDash val="solid"/>
            </a:ln>
          </c:spPr>
          <c:marker>
            <c:symbol val="none"/>
          </c:marker>
          <c:val>
            <c:numRef>
              <c:f>'Sprint 5'!$H$18:$AF$18</c:f>
              <c:numCache/>
            </c:numRef>
          </c:val>
          <c:smooth val="0"/>
        </c:ser>
        <c:ser>
          <c:idx val="2"/>
          <c:order val="2"/>
          <c:tx>
            <c:v>Current Trend</c:v>
          </c:tx>
          <c:spPr>
            <a:ln cmpd="sng">
              <a:solidFill>
                <a:srgbClr val="0000FF">
                  <a:alpha val="100000"/>
                </a:srgbClr>
              </a:solidFill>
              <a:prstDash val="solid"/>
            </a:ln>
          </c:spPr>
          <c:marker>
            <c:symbol val="none"/>
          </c:marker>
          <c:val>
            <c:numRef>
              <c:f>'Sprint 5'!$H$19:$AF$19</c:f>
              <c:numCache/>
            </c:numRef>
          </c:val>
          <c:smooth val="0"/>
        </c:ser>
        <c:axId val="1988859779"/>
        <c:axId val="1551022186"/>
      </c:lineChart>
      <c:catAx>
        <c:axId val="19888597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1022186"/>
      </c:catAx>
      <c:valAx>
        <c:axId val="1551022186"/>
        <c:scaling>
          <c:orientation val="minMax"/>
          <c:min val="0.0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 sz="8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800">
                    <a:solidFill>
                      <a:srgbClr val="000000"/>
                    </a:solidFill>
                    <a:latin typeface="Arial"/>
                  </a:rPr>
                  <a:t>Work Remaining (h)</a:t>
                </a:r>
              </a:p>
            </c:rich>
          </c:tx>
          <c:layout>
            <c:manualLayout>
              <c:xMode val="edge"/>
              <c:yMode val="edge"/>
              <c:x val="0.13938754040042517"/>
              <c:y val="0.1397066543152694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b="0" i="0" sz="500">
                <a:solidFill>
                  <a:srgbClr val="000000"/>
                </a:solidFill>
                <a:latin typeface="Arial"/>
              </a:defRPr>
            </a:pPr>
          </a:p>
        </c:txPr>
        <c:crossAx val="1988859779"/>
      </c:valAx>
      <c:spPr>
        <a:solidFill>
          <a:srgbClr val="C0C0C0"/>
        </a:solidFill>
      </c:spPr>
    </c:plotArea>
    <c:legend>
      <c:legendPos val="l"/>
      <c:layout>
        <c:manualLayout>
          <c:xMode val="edge"/>
          <c:yMode val="edge"/>
          <c:x val="0.008447756013969328"/>
          <c:y val="0.0661764705882353"/>
        </c:manualLayout>
      </c:layout>
      <c:overlay val="0"/>
      <c:txPr>
        <a:bodyPr/>
        <a:lstStyle/>
        <a:p>
          <a:pPr lvl="0">
            <a:defRPr b="0" i="0" sz="700">
              <a:solidFill>
                <a:srgbClr val="000000"/>
              </a:solidFill>
              <a:latin typeface="Arial"/>
            </a:defRPr>
          </a:pPr>
        </a:p>
      </c:txPr>
    </c:legend>
    <c:plotVisOnly val="0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485775</xdr:colOff>
      <xdr:row>7</xdr:row>
      <xdr:rowOff>38100</xdr:rowOff>
    </xdr:from>
    <xdr:ext cx="10506075" cy="1228725"/>
    <xdr:graphicFrame>
      <xdr:nvGraphicFramePr>
        <xdr:cNvPr id="205201721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485775</xdr:colOff>
      <xdr:row>7</xdr:row>
      <xdr:rowOff>38100</xdr:rowOff>
    </xdr:from>
    <xdr:ext cx="10506075" cy="1228725"/>
    <xdr:graphicFrame>
      <xdr:nvGraphicFramePr>
        <xdr:cNvPr id="443031105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485775</xdr:colOff>
      <xdr:row>7</xdr:row>
      <xdr:rowOff>38100</xdr:rowOff>
    </xdr:from>
    <xdr:ext cx="10506075" cy="1228725"/>
    <xdr:graphicFrame>
      <xdr:nvGraphicFramePr>
        <xdr:cNvPr id="156903370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485775</xdr:colOff>
      <xdr:row>7</xdr:row>
      <xdr:rowOff>38100</xdr:rowOff>
    </xdr:from>
    <xdr:ext cx="10506075" cy="1228725"/>
    <xdr:graphicFrame>
      <xdr:nvGraphicFramePr>
        <xdr:cNvPr id="60644332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485775</xdr:colOff>
      <xdr:row>7</xdr:row>
      <xdr:rowOff>38100</xdr:rowOff>
    </xdr:from>
    <xdr:ext cx="10506075" cy="1228725"/>
    <xdr:graphicFrame>
      <xdr:nvGraphicFramePr>
        <xdr:cNvPr id="580712828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25"/>
    <col customWidth="1" min="2" max="2" width="9.13"/>
    <col customWidth="1" min="3" max="3" width="81.63"/>
    <col customWidth="1" min="4" max="4" width="10.75"/>
    <col customWidth="1" min="5" max="5" width="13.75"/>
    <col customWidth="1" min="6" max="6" width="10.88"/>
    <col customWidth="1" min="7" max="7" width="9.63"/>
    <col customWidth="1" min="8" max="32" width="4.38"/>
    <col customWidth="1" min="33" max="33" width="9.13"/>
  </cols>
  <sheetData>
    <row r="1" ht="12.75" customHeight="1">
      <c r="D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ht="10.5" customHeight="1">
      <c r="B2" s="2"/>
      <c r="C2" s="3"/>
      <c r="D2" s="4"/>
      <c r="E2" s="5"/>
      <c r="F2" s="5"/>
      <c r="G2" s="5"/>
      <c r="H2" s="5"/>
      <c r="I2" s="4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4"/>
      <c r="W2" s="5"/>
      <c r="X2" s="5"/>
      <c r="Y2" s="5"/>
      <c r="Z2" s="5"/>
      <c r="AA2" s="5"/>
      <c r="AB2" s="5"/>
      <c r="AC2" s="5"/>
      <c r="AD2" s="5"/>
      <c r="AE2" s="5"/>
      <c r="AF2" s="6"/>
    </row>
    <row r="3" ht="15.0" customHeight="1">
      <c r="B3" s="7"/>
      <c r="C3" s="8" t="s">
        <v>0</v>
      </c>
      <c r="D3" s="9" t="s">
        <v>1</v>
      </c>
      <c r="E3" s="10"/>
      <c r="F3" s="10"/>
      <c r="G3" s="10"/>
      <c r="H3" s="11"/>
      <c r="I3" s="12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2"/>
      <c r="W3" s="13"/>
      <c r="X3" s="13"/>
      <c r="Y3" s="13"/>
      <c r="Z3" s="13"/>
      <c r="AA3" s="13"/>
      <c r="AB3" s="13"/>
      <c r="AC3" s="13"/>
      <c r="AD3" s="13"/>
      <c r="AE3" s="13"/>
      <c r="AF3" s="14"/>
    </row>
    <row r="4" ht="15.0" customHeight="1">
      <c r="B4" s="7"/>
      <c r="C4" s="8" t="s">
        <v>2</v>
      </c>
      <c r="D4" s="15"/>
      <c r="E4" s="10"/>
      <c r="F4" s="10"/>
      <c r="G4" s="10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2"/>
      <c r="W4" s="13"/>
      <c r="X4" s="13"/>
      <c r="Y4" s="13"/>
      <c r="Z4" s="13"/>
      <c r="AA4" s="13"/>
      <c r="AB4" s="13"/>
      <c r="AC4" s="13"/>
      <c r="AD4" s="13"/>
      <c r="AE4" s="13"/>
      <c r="AF4" s="14"/>
    </row>
    <row r="5" ht="15.0" customHeight="1">
      <c r="B5" s="7"/>
      <c r="C5" s="8" t="s">
        <v>3</v>
      </c>
      <c r="D5" s="15"/>
      <c r="E5" s="10"/>
      <c r="F5" s="10"/>
      <c r="G5" s="10"/>
      <c r="H5" s="11"/>
      <c r="I5" s="12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2"/>
      <c r="W5" s="13"/>
      <c r="X5" s="13"/>
      <c r="Y5" s="13"/>
      <c r="Z5" s="13"/>
      <c r="AA5" s="13"/>
      <c r="AB5" s="13"/>
      <c r="AC5" s="13"/>
      <c r="AD5" s="13"/>
      <c r="AE5" s="13"/>
      <c r="AF5" s="14"/>
    </row>
    <row r="6" ht="15.0" customHeight="1">
      <c r="B6" s="16"/>
      <c r="C6" s="17"/>
      <c r="D6" s="18"/>
      <c r="E6" s="18"/>
      <c r="F6" s="18"/>
      <c r="G6" s="18"/>
      <c r="H6" s="18"/>
      <c r="I6" s="19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19"/>
      <c r="W6" s="20"/>
      <c r="X6" s="20"/>
      <c r="Y6" s="20"/>
      <c r="Z6" s="20"/>
      <c r="AA6" s="20"/>
      <c r="AB6" s="20"/>
      <c r="AC6" s="20"/>
      <c r="AD6" s="20"/>
      <c r="AE6" s="20"/>
      <c r="AF6" s="21"/>
    </row>
    <row r="7" ht="12.75" customHeight="1">
      <c r="D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ht="12.75" customHeight="1">
      <c r="C8" s="22">
        <v>1.0</v>
      </c>
      <c r="D8" s="23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</row>
    <row r="9" ht="12.75" customHeight="1">
      <c r="D9" s="1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</row>
    <row r="10" ht="12.75" customHeight="1">
      <c r="D10" s="1"/>
      <c r="F10" s="25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ht="12.75" customHeight="1">
      <c r="D11" s="1"/>
      <c r="F11" s="25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ht="12.75" customHeight="1">
      <c r="D12" s="1"/>
      <c r="F12" s="25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ht="12.75" customHeight="1">
      <c r="D13" s="1"/>
      <c r="F13" s="25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ht="12.75" customHeight="1">
      <c r="D14" s="1"/>
      <c r="F14" s="25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ht="12.75" customHeight="1">
      <c r="D15" s="1"/>
      <c r="F15" s="25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ht="12.75" customHeight="1">
      <c r="B16" s="26"/>
      <c r="C16" s="26" t="s">
        <v>4</v>
      </c>
      <c r="D16" s="27">
        <v>21.0</v>
      </c>
      <c r="E16" s="26"/>
      <c r="F16" s="28"/>
      <c r="G16" s="26" t="s">
        <v>5</v>
      </c>
      <c r="H16" s="26" t="s">
        <v>6</v>
      </c>
      <c r="I16" s="26"/>
      <c r="J16" s="26"/>
      <c r="K16" s="26"/>
      <c r="L16" s="26"/>
      <c r="M16" s="26"/>
      <c r="N16" s="26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</row>
    <row r="17" ht="12.75" customHeight="1">
      <c r="B17" s="26"/>
      <c r="C17" s="26" t="s">
        <v>7</v>
      </c>
      <c r="D17" s="27">
        <v>21.0</v>
      </c>
      <c r="E17" s="26" t="s">
        <v>8</v>
      </c>
      <c r="F17" s="26" t="s">
        <v>9</v>
      </c>
      <c r="G17" s="29">
        <f>SUM(OFFSET(G21,1,0,'Sprint 1'!TaskRows,1))</f>
        <v>72</v>
      </c>
      <c r="H17" s="29">
        <f>IF(AND(SUM(OFFSET(H21,1,0,'Sprint 1'!TaskRows,1))=0),0,SUM(OFFSET(H21,1,0,'Sprint 1'!TaskRows,1)))</f>
        <v>71</v>
      </c>
      <c r="I17" s="29">
        <f>IF(AND(SUM(OFFSET(I21,1,0,'Sprint 1'!TaskRows,1))=0),"",SUM(OFFSET(I21,1,0,'Sprint 1'!TaskRows,1)))</f>
        <v>63</v>
      </c>
      <c r="J17" s="29">
        <f>IF(AND(SUM(OFFSET(J21,1,0,'Sprint 1'!TaskRows,1))=0),"",SUM(OFFSET(J21,1,0,'Sprint 1'!TaskRows,1)))</f>
        <v>58</v>
      </c>
      <c r="K17" s="29">
        <f>IF(AND(SUM(OFFSET(K21,1,0,'Sprint 1'!TaskRows,1))=0),"",SUM(OFFSET(K21,1,0,'Sprint 1'!TaskRows,1)))</f>
        <v>55</v>
      </c>
      <c r="L17" s="29">
        <f>IF(AND(SUM(OFFSET(L21,1,0,'Sprint 1'!TaskRows,1))=0),"",SUM(OFFSET(L21,1,0,'Sprint 1'!TaskRows,1)))</f>
        <v>53</v>
      </c>
      <c r="M17" s="29">
        <f>IF(AND(SUM(OFFSET(M21,1,0,'Sprint 1'!TaskRows,1))=0),"",SUM(OFFSET(M21,1,0,'Sprint 1'!TaskRows,1)))</f>
        <v>49</v>
      </c>
      <c r="N17" s="29">
        <f>IF(AND(SUM(OFFSET(N21,1,0,'Sprint 1'!TaskRows,1))=0),"",SUM(OFFSET(N21,1,0,'Sprint 1'!TaskRows,1)))</f>
        <v>44</v>
      </c>
      <c r="O17" s="29">
        <f>IF(AND(SUM(OFFSET(O21,1,0,'Sprint 1'!TaskRows,1))=0),"",SUM(OFFSET(O21,1,0,'Sprint 1'!TaskRows,1)))</f>
        <v>41</v>
      </c>
      <c r="P17" s="29">
        <f>IF(AND(SUM(OFFSET(P21,1,0,'Sprint 1'!TaskRows,1))=0),"",SUM(OFFSET(P21,1,0,'Sprint 1'!TaskRows,1)))</f>
        <v>33</v>
      </c>
      <c r="Q17" s="29">
        <f>IF(AND(SUM(OFFSET(Q21,1,0,'Sprint 1'!TaskRows,1))=0),"",SUM(OFFSET(Q21,1,0,'Sprint 1'!TaskRows,1)))</f>
        <v>32</v>
      </c>
      <c r="R17" s="29">
        <f>IF(AND(SUM(OFFSET(R21,1,0,'Sprint 1'!TaskRows,1))=0),"",SUM(OFFSET(R21,1,0,'Sprint 1'!TaskRows,1)))</f>
        <v>28</v>
      </c>
      <c r="S17" s="29">
        <f>IF(AND(SUM(OFFSET(S21,1,0,'Sprint 1'!TaskRows,1))=0),"",SUM(OFFSET(S21,1,0,'Sprint 1'!TaskRows,1)))</f>
        <v>28</v>
      </c>
      <c r="T17" s="29">
        <f>IF(AND(SUM(OFFSET(T21,1,0,'Sprint 1'!TaskRows,1))=0),"",SUM(OFFSET(T21,1,0,'Sprint 1'!TaskRows,1)))</f>
        <v>28</v>
      </c>
      <c r="U17" s="29">
        <f>IF(AND(SUM(OFFSET(U21,1,0,'Sprint 1'!TaskRows,1))=0),"",SUM(OFFSET(U21,1,0,'Sprint 1'!TaskRows,1)))</f>
        <v>28</v>
      </c>
      <c r="V17" s="29">
        <f>IF(AND(SUM(OFFSET(V21,1,0,'Sprint 1'!TaskRows,1))=0),"",SUM(OFFSET(V21,1,0,'Sprint 1'!TaskRows,1)))</f>
        <v>28</v>
      </c>
      <c r="W17" s="29">
        <f>IF(AND(SUM(OFFSET(W21,1,0,'Sprint 1'!TaskRows,1))=0),"",SUM(OFFSET(W21,1,0,'Sprint 1'!TaskRows,1)))</f>
        <v>28</v>
      </c>
      <c r="X17" s="29">
        <f>IF(AND(SUM(OFFSET(X21,1,0,'Sprint 1'!TaskRows,1))=0),"",SUM(OFFSET(X21,1,0,'Sprint 1'!TaskRows,1)))</f>
        <v>28</v>
      </c>
      <c r="Y17" s="29">
        <f>IF(AND(SUM(OFFSET(Y21,1,0,'Sprint 1'!TaskRows,1))=0),"",SUM(OFFSET(Y21,1,0,'Sprint 1'!TaskRows,1)))</f>
        <v>27</v>
      </c>
      <c r="Z17" s="29">
        <f>IF(AND(SUM(OFFSET(Z21,1,0,'Sprint 1'!TaskRows,1))=0),"",SUM(OFFSET(Z21,1,0,'Sprint 1'!TaskRows,1)))</f>
        <v>27</v>
      </c>
      <c r="AA17" s="29">
        <f>IF(AND(SUM(OFFSET(AA21,1,0,'Sprint 1'!TaskRows,1))=0),"",SUM(OFFSET(AA21,1,0,'Sprint 1'!TaskRows,1)))</f>
        <v>25</v>
      </c>
      <c r="AB17" s="29">
        <f>IF(AND(SUM(OFFSET(AB21,1,0,'Sprint 1'!TaskRows,1))=0),"",SUM(OFFSET(AB21,1,0,'Sprint 1'!TaskRows,1)))</f>
        <v>25</v>
      </c>
      <c r="AC17" s="29" t="str">
        <f>IF(AND(SUM(OFFSET(AC21,1,0,'Sprint 1'!TaskRows,1))=0),"",SUM(OFFSET(AC21,1,0,'Sprint 1'!TaskRows,1)))</f>
        <v/>
      </c>
      <c r="AD17" s="29" t="str">
        <f>IF(AND(SUM(OFFSET(AD21,1,0,'Sprint 1'!TaskRows,1))=0),"",SUM(OFFSET(AD21,1,0,'Sprint 1'!TaskRows,1)))</f>
        <v/>
      </c>
      <c r="AE17" s="29" t="str">
        <f>IF(AND(SUM(OFFSET(AE21,1,0,'Sprint 1'!TaskRows,1))=0),"",SUM(OFFSET(AE21,1,0,'Sprint 1'!TaskRows,1)))</f>
        <v/>
      </c>
      <c r="AF17" s="29" t="str">
        <f>IF(AND(SUM(OFFSET(AF21,1,0,'Sprint 1'!TaskRows,1))=0),"",SUM(OFFSET(AF21,1,0,'Sprint 1'!TaskRows,1)))</f>
        <v/>
      </c>
    </row>
    <row r="18" ht="12.75" hidden="1" customHeight="1">
      <c r="C18" s="25" t="s">
        <v>10</v>
      </c>
      <c r="D18" s="1">
        <f>IF(COUNTA(C22:C249)=0,1,COUNTA(C22:C249))</f>
        <v>9</v>
      </c>
      <c r="E18" s="25" t="s">
        <v>11</v>
      </c>
      <c r="F18" s="1">
        <f>IF(COUNTIF(H17:AF17,"&gt;0")=0,1,COUNTIF(H17:AF17,"&gt;0"))</f>
        <v>21</v>
      </c>
      <c r="G18" s="1"/>
      <c r="H18" s="1">
        <f>IF(H21="","",$G17-$G17/($D16-1)*(H21-1))</f>
        <v>72</v>
      </c>
      <c r="I18" s="1">
        <f>IF(I21="","",'Sprint 1'!TotalEffort-'Sprint 1'!TotalEffort/('Sprint 1'!ImplementationDays)*(I21-1))</f>
        <v>68.57142857</v>
      </c>
      <c r="J18" s="1">
        <f>IF(J21="","",'Sprint 1'!TotalEffort-'Sprint 1'!TotalEffort/('Sprint 1'!ImplementationDays)*(J21-1))</f>
        <v>65.14285714</v>
      </c>
      <c r="K18" s="1">
        <f>IF(K21="","",'Sprint 1'!TotalEffort-'Sprint 1'!TotalEffort/('Sprint 1'!ImplementationDays)*(K21-1))</f>
        <v>61.71428571</v>
      </c>
      <c r="L18" s="1">
        <f>IF(L21="","",'Sprint 1'!TotalEffort-'Sprint 1'!TotalEffort/('Sprint 1'!ImplementationDays)*(L21-1))</f>
        <v>58.28571429</v>
      </c>
      <c r="M18" s="1">
        <f>IF(M21="","",'Sprint 1'!TotalEffort-'Sprint 1'!TotalEffort/('Sprint 1'!ImplementationDays)*(M21-1))</f>
        <v>54.85714286</v>
      </c>
      <c r="N18" s="1">
        <f>IF(N21="","",'Sprint 1'!TotalEffort-'Sprint 1'!TotalEffort/('Sprint 1'!ImplementationDays)*(N21-1))</f>
        <v>51.42857143</v>
      </c>
      <c r="O18" s="1">
        <f>IF(O21="","",'Sprint 1'!TotalEffort-'Sprint 1'!TotalEffort/('Sprint 1'!ImplementationDays)*(O21-1))</f>
        <v>48</v>
      </c>
      <c r="P18" s="1">
        <f>IF(P21="","",'Sprint 1'!TotalEffort-'Sprint 1'!TotalEffort/('Sprint 1'!ImplementationDays)*(P21-1))</f>
        <v>44.57142857</v>
      </c>
      <c r="Q18" s="1">
        <f>IF(Q21="","",'Sprint 1'!TotalEffort-'Sprint 1'!TotalEffort/('Sprint 1'!ImplementationDays)*(Q21-1))</f>
        <v>41.14285714</v>
      </c>
      <c r="R18" s="1">
        <f>IF(R21="","",'Sprint 1'!TotalEffort-'Sprint 1'!TotalEffort/('Sprint 1'!ImplementationDays)*(R21-1))</f>
        <v>37.71428571</v>
      </c>
      <c r="S18" s="1">
        <f>IF(S21="","",'Sprint 1'!TotalEffort-'Sprint 1'!TotalEffort/('Sprint 1'!ImplementationDays)*(S21-1))</f>
        <v>34.28571429</v>
      </c>
      <c r="T18" s="1">
        <f>IF(T21="","",'Sprint 1'!TotalEffort-'Sprint 1'!TotalEffort/('Sprint 1'!ImplementationDays)*(T21-1))</f>
        <v>30.85714286</v>
      </c>
      <c r="U18" s="1">
        <f>IF(U21="","",'Sprint 1'!TotalEffort-'Sprint 1'!TotalEffort/('Sprint 1'!ImplementationDays)*(U21-1))</f>
        <v>27.42857143</v>
      </c>
      <c r="V18" s="1">
        <f>IF(V21="","",'Sprint 1'!TotalEffort-'Sprint 1'!TotalEffort/('Sprint 1'!ImplementationDays)*(V21-1))</f>
        <v>24</v>
      </c>
      <c r="W18" s="1">
        <f>IF(W21="","",'Sprint 1'!TotalEffort-'Sprint 1'!TotalEffort/('Sprint 1'!ImplementationDays)*(W21-1))</f>
        <v>20.57142857</v>
      </c>
      <c r="X18" s="1">
        <f>IF(X21="","",'Sprint 1'!TotalEffort-'Sprint 1'!TotalEffort/('Sprint 1'!ImplementationDays)*(X21-1))</f>
        <v>17.14285714</v>
      </c>
      <c r="Y18" s="1">
        <f>IF(Y21="","",'Sprint 1'!TotalEffort-'Sprint 1'!TotalEffort/('Sprint 1'!ImplementationDays)*(Y21-1))</f>
        <v>13.71428571</v>
      </c>
      <c r="Z18" s="1">
        <f>IF(Z21="","",'Sprint 1'!TotalEffort-'Sprint 1'!TotalEffort/('Sprint 1'!ImplementationDays)*(Z21-1))</f>
        <v>10.28571429</v>
      </c>
      <c r="AA18" s="1">
        <f>IF(AA21="","",'Sprint 1'!TotalEffort-'Sprint 1'!TotalEffort/('Sprint 1'!ImplementationDays)*(AA21-1))</f>
        <v>6.857142857</v>
      </c>
      <c r="AB18" s="1">
        <f>IF(AB21="","",'Sprint 1'!TotalEffort-'Sprint 1'!TotalEffort/('Sprint 1'!ImplementationDays)*(AB21-1))</f>
        <v>3.428571429</v>
      </c>
      <c r="AC18" s="1" t="str">
        <f>IF(AC21="","",'Sprint 1'!TotalEffort-'Sprint 1'!TotalEffort/('Sprint 1'!ImplementationDays)*(AC21-1))</f>
        <v/>
      </c>
      <c r="AD18" s="1" t="str">
        <f>IF(AD21="","",'Sprint 1'!TotalEffort-'Sprint 1'!TotalEffort/('Sprint 1'!ImplementationDays)*(AD21-1))</f>
        <v/>
      </c>
      <c r="AE18" s="1" t="str">
        <f>IF(AE21="","",'Sprint 1'!TotalEffort-'Sprint 1'!TotalEffort/('Sprint 1'!ImplementationDays)*(AE21-1))</f>
        <v/>
      </c>
      <c r="AF18" s="1" t="str">
        <f>IF(AF21="","",'Sprint 1'!TotalEffort-'Sprint 1'!TotalEffort/('Sprint 1'!ImplementationDays)*(AF21-1))</f>
        <v/>
      </c>
    </row>
    <row r="19" ht="12.75" hidden="1" customHeight="1">
      <c r="C19" s="30" t="s">
        <v>12</v>
      </c>
      <c r="E19" s="25" t="s">
        <v>13</v>
      </c>
      <c r="F19" s="1"/>
      <c r="G19" s="1"/>
      <c r="H19" s="1">
        <f t="array" ref="H19">IF(TREND(OFFSET($H17,0,'Sprint 1'!DoneDays-'Sprint 1'!TrendDays,1,'Sprint 1'!TrendDays),OFFSET($H20,0,'Sprint 1'!DoneDays-'Sprint 1'!TrendDays,1,'Sprint 1'!TrendDays),H20)&lt;0,"",TREND(OFFSET($H17,0,'Sprint 1'!DoneDays-'Sprint 1'!TrendDays,1,'Sprint 1'!TrendDays),OFFSET($H20,0,'Sprint 1'!DoneDays-'Sprint 1'!TrendDays,1,'Sprint 1'!TrendDays),H20))</f>
        <v>59.06060606</v>
      </c>
      <c r="I19" s="1">
        <f t="array" ref="I19">IF(TREND(OFFSET($H17,0,'Sprint 1'!DoneDays-'Sprint 1'!TrendDays,1,'Sprint 1'!TrendDays),OFFSET($H20,0,'Sprint 1'!DoneDays-'Sprint 1'!TrendDays,1,'Sprint 1'!TrendDays),I20)&lt;0,"",TREND(OFFSET($H17,0,'Sprint 1'!DoneDays-'Sprint 1'!TrendDays,1,'Sprint 1'!TrendDays),OFFSET($H20,0,'Sprint 1'!DoneDays-'Sprint 1'!TrendDays,1,'Sprint 1'!TrendDays),I20))</f>
        <v>56.95930736</v>
      </c>
      <c r="J19" s="1">
        <f t="array" ref="J19">IF(TREND(OFFSET($H17,0,'Sprint 1'!DoneDays-'Sprint 1'!TrendDays,1,'Sprint 1'!TrendDays),OFFSET($H20,0,'Sprint 1'!DoneDays-'Sprint 1'!TrendDays,1,'Sprint 1'!TrendDays),J20)&lt;0,"",TREND(OFFSET($H17,0,'Sprint 1'!DoneDays-'Sprint 1'!TrendDays,1,'Sprint 1'!TrendDays),OFFSET($H20,0,'Sprint 1'!DoneDays-'Sprint 1'!TrendDays,1,'Sprint 1'!TrendDays),J20))</f>
        <v>54.85800866</v>
      </c>
      <c r="K19" s="1">
        <f t="array" ref="K19">IF(TREND(OFFSET($H17,0,'Sprint 1'!DoneDays-'Sprint 1'!TrendDays,1,'Sprint 1'!TrendDays),OFFSET($H20,0,'Sprint 1'!DoneDays-'Sprint 1'!TrendDays,1,'Sprint 1'!TrendDays),K20)&lt;0,"",TREND(OFFSET($H17,0,'Sprint 1'!DoneDays-'Sprint 1'!TrendDays,1,'Sprint 1'!TrendDays),OFFSET($H20,0,'Sprint 1'!DoneDays-'Sprint 1'!TrendDays,1,'Sprint 1'!TrendDays),K20))</f>
        <v>52.75670996</v>
      </c>
      <c r="L19" s="1">
        <f t="array" ref="L19">IF(TREND(OFFSET($H17,0,'Sprint 1'!DoneDays-'Sprint 1'!TrendDays,1,'Sprint 1'!TrendDays),OFFSET($H20,0,'Sprint 1'!DoneDays-'Sprint 1'!TrendDays,1,'Sprint 1'!TrendDays),L20)&lt;0,"",TREND(OFFSET($H17,0,'Sprint 1'!DoneDays-'Sprint 1'!TrendDays,1,'Sprint 1'!TrendDays),OFFSET($H20,0,'Sprint 1'!DoneDays-'Sprint 1'!TrendDays,1,'Sprint 1'!TrendDays),L20))</f>
        <v>50.65541126</v>
      </c>
      <c r="M19" s="1">
        <f t="array" ref="M19">IF(TREND(OFFSET($H17,0,'Sprint 1'!DoneDays-'Sprint 1'!TrendDays,1,'Sprint 1'!TrendDays),OFFSET($H20,0,'Sprint 1'!DoneDays-'Sprint 1'!TrendDays,1,'Sprint 1'!TrendDays),M20)&lt;0,"",TREND(OFFSET($H17,0,'Sprint 1'!DoneDays-'Sprint 1'!TrendDays,1,'Sprint 1'!TrendDays),OFFSET($H20,0,'Sprint 1'!DoneDays-'Sprint 1'!TrendDays,1,'Sprint 1'!TrendDays),M20))</f>
        <v>48.55411255</v>
      </c>
      <c r="N19" s="1">
        <f t="array" ref="N19">IF(TREND(OFFSET($H17,0,'Sprint 1'!DoneDays-'Sprint 1'!TrendDays,1,'Sprint 1'!TrendDays),OFFSET($H20,0,'Sprint 1'!DoneDays-'Sprint 1'!TrendDays,1,'Sprint 1'!TrendDays),N20)&lt;0,"",TREND(OFFSET($H17,0,'Sprint 1'!DoneDays-'Sprint 1'!TrendDays,1,'Sprint 1'!TrendDays),OFFSET($H20,0,'Sprint 1'!DoneDays-'Sprint 1'!TrendDays,1,'Sprint 1'!TrendDays),N20))</f>
        <v>46.45281385</v>
      </c>
      <c r="O19" s="1">
        <f t="array" ref="O19">IF(TREND(OFFSET($H17,0,'Sprint 1'!DoneDays-'Sprint 1'!TrendDays,1,'Sprint 1'!TrendDays),OFFSET($H20,0,'Sprint 1'!DoneDays-'Sprint 1'!TrendDays,1,'Sprint 1'!TrendDays),O20)&lt;0,"",TREND(OFFSET($H17,0,'Sprint 1'!DoneDays-'Sprint 1'!TrendDays,1,'Sprint 1'!TrendDays),OFFSET($H20,0,'Sprint 1'!DoneDays-'Sprint 1'!TrendDays,1,'Sprint 1'!TrendDays),O20))</f>
        <v>44.35151515</v>
      </c>
      <c r="P19" s="1">
        <f t="array" ref="P19">IF(TREND(OFFSET($H17,0,'Sprint 1'!DoneDays-'Sprint 1'!TrendDays,1,'Sprint 1'!TrendDays),OFFSET($H20,0,'Sprint 1'!DoneDays-'Sprint 1'!TrendDays,1,'Sprint 1'!TrendDays),P20)&lt;0,"",TREND(OFFSET($H17,0,'Sprint 1'!DoneDays-'Sprint 1'!TrendDays,1,'Sprint 1'!TrendDays),OFFSET($H20,0,'Sprint 1'!DoneDays-'Sprint 1'!TrendDays,1,'Sprint 1'!TrendDays),P20))</f>
        <v>42.25021645</v>
      </c>
      <c r="Q19" s="1">
        <f t="array" ref="Q19">IF(TREND(OFFSET($H17,0,'Sprint 1'!DoneDays-'Sprint 1'!TrendDays,1,'Sprint 1'!TrendDays),OFFSET($H20,0,'Sprint 1'!DoneDays-'Sprint 1'!TrendDays,1,'Sprint 1'!TrendDays),Q20)&lt;0,"",TREND(OFFSET($H17,0,'Sprint 1'!DoneDays-'Sprint 1'!TrendDays,1,'Sprint 1'!TrendDays),OFFSET($H20,0,'Sprint 1'!DoneDays-'Sprint 1'!TrendDays,1,'Sprint 1'!TrendDays),Q20))</f>
        <v>40.14891775</v>
      </c>
      <c r="R19" s="1">
        <f t="array" ref="R19">IF(TREND(OFFSET($H17,0,'Sprint 1'!DoneDays-'Sprint 1'!TrendDays,1,'Sprint 1'!TrendDays),OFFSET($H20,0,'Sprint 1'!DoneDays-'Sprint 1'!TrendDays,1,'Sprint 1'!TrendDays),R20)&lt;0,"",TREND(OFFSET($H17,0,'Sprint 1'!DoneDays-'Sprint 1'!TrendDays,1,'Sprint 1'!TrendDays),OFFSET($H20,0,'Sprint 1'!DoneDays-'Sprint 1'!TrendDays,1,'Sprint 1'!TrendDays),R20))</f>
        <v>38.04761905</v>
      </c>
      <c r="S19" s="1">
        <f t="array" ref="S19">IF(TREND(OFFSET($H17,0,'Sprint 1'!DoneDays-'Sprint 1'!TrendDays,1,'Sprint 1'!TrendDays),OFFSET($H20,0,'Sprint 1'!DoneDays-'Sprint 1'!TrendDays,1,'Sprint 1'!TrendDays),S20)&lt;0,"",TREND(OFFSET($H17,0,'Sprint 1'!DoneDays-'Sprint 1'!TrendDays,1,'Sprint 1'!TrendDays),OFFSET($H20,0,'Sprint 1'!DoneDays-'Sprint 1'!TrendDays,1,'Sprint 1'!TrendDays),S20))</f>
        <v>35.94632035</v>
      </c>
      <c r="T19" s="1">
        <f t="array" ref="T19">IF(TREND(OFFSET($H17,0,'Sprint 1'!DoneDays-'Sprint 1'!TrendDays,1,'Sprint 1'!TrendDays),OFFSET($H20,0,'Sprint 1'!DoneDays-'Sprint 1'!TrendDays,1,'Sprint 1'!TrendDays),T20)&lt;0,"",TREND(OFFSET($H17,0,'Sprint 1'!DoneDays-'Sprint 1'!TrendDays,1,'Sprint 1'!TrendDays),OFFSET($H20,0,'Sprint 1'!DoneDays-'Sprint 1'!TrendDays,1,'Sprint 1'!TrendDays),T20))</f>
        <v>33.84502165</v>
      </c>
      <c r="U19" s="1">
        <f t="array" ref="U19">IF(TREND(OFFSET($H17,0,'Sprint 1'!DoneDays-'Sprint 1'!TrendDays,1,'Sprint 1'!TrendDays),OFFSET($H20,0,'Sprint 1'!DoneDays-'Sprint 1'!TrendDays,1,'Sprint 1'!TrendDays),U20)&lt;0,"",TREND(OFFSET($H17,0,'Sprint 1'!DoneDays-'Sprint 1'!TrendDays,1,'Sprint 1'!TrendDays),OFFSET($H20,0,'Sprint 1'!DoneDays-'Sprint 1'!TrendDays,1,'Sprint 1'!TrendDays),U20))</f>
        <v>31.74372294</v>
      </c>
      <c r="V19" s="1">
        <f t="array" ref="V19">IF(TREND(OFFSET($H17,0,'Sprint 1'!DoneDays-'Sprint 1'!TrendDays,1,'Sprint 1'!TrendDays),OFFSET($H20,0,'Sprint 1'!DoneDays-'Sprint 1'!TrendDays,1,'Sprint 1'!TrendDays),V20)&lt;0,"",TREND(OFFSET($H17,0,'Sprint 1'!DoneDays-'Sprint 1'!TrendDays,1,'Sprint 1'!TrendDays),OFFSET($H20,0,'Sprint 1'!DoneDays-'Sprint 1'!TrendDays,1,'Sprint 1'!TrendDays),V20))</f>
        <v>29.64242424</v>
      </c>
      <c r="W19" s="1">
        <f t="array" ref="W19">IF(TREND(OFFSET($H17,0,'Sprint 1'!DoneDays-'Sprint 1'!TrendDays,1,'Sprint 1'!TrendDays),OFFSET($H20,0,'Sprint 1'!DoneDays-'Sprint 1'!TrendDays,1,'Sprint 1'!TrendDays),W20)&lt;0,"",TREND(OFFSET($H17,0,'Sprint 1'!DoneDays-'Sprint 1'!TrendDays,1,'Sprint 1'!TrendDays),OFFSET($H20,0,'Sprint 1'!DoneDays-'Sprint 1'!TrendDays,1,'Sprint 1'!TrendDays),W20))</f>
        <v>27.54112554</v>
      </c>
      <c r="X19" s="1">
        <f t="array" ref="X19">IF(TREND(OFFSET($H17,0,'Sprint 1'!DoneDays-'Sprint 1'!TrendDays,1,'Sprint 1'!TrendDays),OFFSET($H20,0,'Sprint 1'!DoneDays-'Sprint 1'!TrendDays,1,'Sprint 1'!TrendDays),X20)&lt;0,"",TREND(OFFSET($H17,0,'Sprint 1'!DoneDays-'Sprint 1'!TrendDays,1,'Sprint 1'!TrendDays),OFFSET($H20,0,'Sprint 1'!DoneDays-'Sprint 1'!TrendDays,1,'Sprint 1'!TrendDays),X20))</f>
        <v>25.43982684</v>
      </c>
      <c r="Y19" s="1">
        <f t="array" ref="Y19">IF(TREND(OFFSET($H17,0,'Sprint 1'!DoneDays-'Sprint 1'!TrendDays,1,'Sprint 1'!TrendDays),OFFSET($H20,0,'Sprint 1'!DoneDays-'Sprint 1'!TrendDays,1,'Sprint 1'!TrendDays),Y20)&lt;0,"",TREND(OFFSET($H17,0,'Sprint 1'!DoneDays-'Sprint 1'!TrendDays,1,'Sprint 1'!TrendDays),OFFSET($H20,0,'Sprint 1'!DoneDays-'Sprint 1'!TrendDays,1,'Sprint 1'!TrendDays),Y20))</f>
        <v>23.33852814</v>
      </c>
      <c r="Z19" s="1">
        <f t="array" ref="Z19">IF(TREND(OFFSET($H17,0,'Sprint 1'!DoneDays-'Sprint 1'!TrendDays,1,'Sprint 1'!TrendDays),OFFSET($H20,0,'Sprint 1'!DoneDays-'Sprint 1'!TrendDays,1,'Sprint 1'!TrendDays),Z20)&lt;0,"",TREND(OFFSET($H17,0,'Sprint 1'!DoneDays-'Sprint 1'!TrendDays,1,'Sprint 1'!TrendDays),OFFSET($H20,0,'Sprint 1'!DoneDays-'Sprint 1'!TrendDays,1,'Sprint 1'!TrendDays),Z20))</f>
        <v>21.23722944</v>
      </c>
      <c r="AA19" s="1">
        <f t="array" ref="AA19">IF(TREND(OFFSET($H17,0,'Sprint 1'!DoneDays-'Sprint 1'!TrendDays,1,'Sprint 1'!TrendDays),OFFSET($H20,0,'Sprint 1'!DoneDays-'Sprint 1'!TrendDays,1,'Sprint 1'!TrendDays),AA20)&lt;0,"",TREND(OFFSET($H17,0,'Sprint 1'!DoneDays-'Sprint 1'!TrendDays,1,'Sprint 1'!TrendDays),OFFSET($H20,0,'Sprint 1'!DoneDays-'Sprint 1'!TrendDays,1,'Sprint 1'!TrendDays),AA20))</f>
        <v>19.13593074</v>
      </c>
      <c r="AB19" s="1">
        <f t="array" ref="AB19">IF(TREND(OFFSET($H17,0,'Sprint 1'!DoneDays-'Sprint 1'!TrendDays,1,'Sprint 1'!TrendDays),OFFSET($H20,0,'Sprint 1'!DoneDays-'Sprint 1'!TrendDays,1,'Sprint 1'!TrendDays),AB20)&lt;0,"",TREND(OFFSET($H17,0,'Sprint 1'!DoneDays-'Sprint 1'!TrendDays,1,'Sprint 1'!TrendDays),OFFSET($H20,0,'Sprint 1'!DoneDays-'Sprint 1'!TrendDays,1,'Sprint 1'!TrendDays),AB20))</f>
        <v>17.03463203</v>
      </c>
      <c r="AC19" s="1">
        <f t="array" ref="AC19">IF(TREND(OFFSET($H17,0,'Sprint 1'!DoneDays-'Sprint 1'!TrendDays,1,'Sprint 1'!TrendDays),OFFSET($H20,0,'Sprint 1'!DoneDays-'Sprint 1'!TrendDays,1,'Sprint 1'!TrendDays),AC20)&lt;0,"",TREND(OFFSET($H17,0,'Sprint 1'!DoneDays-'Sprint 1'!TrendDays,1,'Sprint 1'!TrendDays),OFFSET($H20,0,'Sprint 1'!DoneDays-'Sprint 1'!TrendDays,1,'Sprint 1'!TrendDays),AC20))</f>
        <v>14.93333333</v>
      </c>
      <c r="AD19" s="1">
        <f t="array" ref="AD19">IF(TREND(OFFSET($H17,0,'Sprint 1'!DoneDays-'Sprint 1'!TrendDays,1,'Sprint 1'!TrendDays),OFFSET($H20,0,'Sprint 1'!DoneDays-'Sprint 1'!TrendDays,1,'Sprint 1'!TrendDays),AD20)&lt;0,"",TREND(OFFSET($H17,0,'Sprint 1'!DoneDays-'Sprint 1'!TrendDays,1,'Sprint 1'!TrendDays),OFFSET($H20,0,'Sprint 1'!DoneDays-'Sprint 1'!TrendDays,1,'Sprint 1'!TrendDays),AD20))</f>
        <v>12.83203463</v>
      </c>
      <c r="AE19" s="1">
        <f t="array" ref="AE19">IF(TREND(OFFSET($H17,0,'Sprint 1'!DoneDays-'Sprint 1'!TrendDays,1,'Sprint 1'!TrendDays),OFFSET($H20,0,'Sprint 1'!DoneDays-'Sprint 1'!TrendDays,1,'Sprint 1'!TrendDays),AE20)&lt;0,"",TREND(OFFSET($H17,0,'Sprint 1'!DoneDays-'Sprint 1'!TrendDays,1,'Sprint 1'!TrendDays),OFFSET($H20,0,'Sprint 1'!DoneDays-'Sprint 1'!TrendDays,1,'Sprint 1'!TrendDays),AE20))</f>
        <v>10.73073593</v>
      </c>
      <c r="AF19" s="1">
        <f t="array" ref="AF19">IF(TREND(OFFSET($H17,0,'Sprint 1'!DoneDays-'Sprint 1'!TrendDays,1,'Sprint 1'!TrendDays),OFFSET($H20,0,'Sprint 1'!DoneDays-'Sprint 1'!TrendDays,1,'Sprint 1'!TrendDays),AF20)&lt;0,"",TREND(OFFSET($H17,0,'Sprint 1'!DoneDays-'Sprint 1'!TrendDays,1,'Sprint 1'!TrendDays),OFFSET($H20,0,'Sprint 1'!DoneDays-'Sprint 1'!TrendDays,1,'Sprint 1'!TrendDays),AF20))</f>
        <v>8.629437229</v>
      </c>
    </row>
    <row r="20" ht="12.75" hidden="1" customHeight="1">
      <c r="C20" s="30" t="s">
        <v>14</v>
      </c>
      <c r="E20" s="25" t="s">
        <v>15</v>
      </c>
      <c r="F20" s="1">
        <f>IF('Sprint 1'!DoneDays&gt;D17,D17,'Sprint 1'!DoneDays)</f>
        <v>21</v>
      </c>
      <c r="G20" s="1"/>
      <c r="H20" s="1">
        <f>IF('Sprint 1'!DoneDays&gt;G20,G20+1,"")</f>
        <v>1</v>
      </c>
      <c r="I20" s="1">
        <v>2.0</v>
      </c>
      <c r="J20" s="1">
        <v>3.0</v>
      </c>
      <c r="K20" s="1">
        <v>4.0</v>
      </c>
      <c r="L20" s="1">
        <v>5.0</v>
      </c>
      <c r="M20" s="1">
        <v>6.0</v>
      </c>
      <c r="N20" s="1">
        <v>7.0</v>
      </c>
      <c r="O20" s="1">
        <v>8.0</v>
      </c>
      <c r="P20" s="1">
        <v>9.0</v>
      </c>
      <c r="Q20" s="1">
        <v>10.0</v>
      </c>
      <c r="R20" s="1">
        <v>11.0</v>
      </c>
      <c r="S20" s="1">
        <v>12.0</v>
      </c>
      <c r="T20" s="1">
        <v>13.0</v>
      </c>
      <c r="U20" s="1">
        <v>14.0</v>
      </c>
      <c r="V20" s="1">
        <v>15.0</v>
      </c>
      <c r="W20" s="1">
        <v>16.0</v>
      </c>
      <c r="X20" s="1">
        <v>17.0</v>
      </c>
      <c r="Y20" s="1">
        <v>18.0</v>
      </c>
      <c r="Z20" s="1">
        <v>19.0</v>
      </c>
      <c r="AA20" s="1">
        <v>20.0</v>
      </c>
      <c r="AB20" s="1">
        <v>21.0</v>
      </c>
      <c r="AC20" s="1">
        <v>22.0</v>
      </c>
      <c r="AD20" s="1">
        <v>23.0</v>
      </c>
      <c r="AE20" s="1">
        <v>24.0</v>
      </c>
      <c r="AF20" s="1">
        <v>25.0</v>
      </c>
    </row>
    <row r="21" ht="12.75" customHeight="1">
      <c r="B21" s="26" t="s">
        <v>16</v>
      </c>
      <c r="C21" s="31" t="s">
        <v>17</v>
      </c>
      <c r="D21" s="31" t="s">
        <v>18</v>
      </c>
      <c r="E21" s="31" t="s">
        <v>19</v>
      </c>
      <c r="F21" s="31" t="s">
        <v>20</v>
      </c>
      <c r="G21" s="31" t="s">
        <v>21</v>
      </c>
      <c r="H21" s="31">
        <v>1.0</v>
      </c>
      <c r="I21" s="31">
        <f t="shared" ref="I21:AF21" si="1">IF($D$16&gt;H21,H21+1,"")</f>
        <v>2</v>
      </c>
      <c r="J21" s="31">
        <f t="shared" si="1"/>
        <v>3</v>
      </c>
      <c r="K21" s="31">
        <f t="shared" si="1"/>
        <v>4</v>
      </c>
      <c r="L21" s="31">
        <f t="shared" si="1"/>
        <v>5</v>
      </c>
      <c r="M21" s="31">
        <f t="shared" si="1"/>
        <v>6</v>
      </c>
      <c r="N21" s="31">
        <f t="shared" si="1"/>
        <v>7</v>
      </c>
      <c r="O21" s="31">
        <f t="shared" si="1"/>
        <v>8</v>
      </c>
      <c r="P21" s="31">
        <f t="shared" si="1"/>
        <v>9</v>
      </c>
      <c r="Q21" s="31">
        <f t="shared" si="1"/>
        <v>10</v>
      </c>
      <c r="R21" s="31">
        <f t="shared" si="1"/>
        <v>11</v>
      </c>
      <c r="S21" s="31">
        <f t="shared" si="1"/>
        <v>12</v>
      </c>
      <c r="T21" s="31">
        <f t="shared" si="1"/>
        <v>13</v>
      </c>
      <c r="U21" s="31">
        <f t="shared" si="1"/>
        <v>14</v>
      </c>
      <c r="V21" s="31">
        <f t="shared" si="1"/>
        <v>15</v>
      </c>
      <c r="W21" s="31">
        <f t="shared" si="1"/>
        <v>16</v>
      </c>
      <c r="X21" s="31">
        <f t="shared" si="1"/>
        <v>17</v>
      </c>
      <c r="Y21" s="31">
        <f t="shared" si="1"/>
        <v>18</v>
      </c>
      <c r="Z21" s="31">
        <f t="shared" si="1"/>
        <v>19</v>
      </c>
      <c r="AA21" s="31">
        <f t="shared" si="1"/>
        <v>20</v>
      </c>
      <c r="AB21" s="31">
        <f t="shared" si="1"/>
        <v>21</v>
      </c>
      <c r="AC21" s="31" t="str">
        <f t="shared" si="1"/>
        <v/>
      </c>
      <c r="AD21" s="31" t="str">
        <f t="shared" si="1"/>
        <v/>
      </c>
      <c r="AE21" s="31" t="str">
        <f t="shared" si="1"/>
        <v/>
      </c>
      <c r="AF21" s="31" t="str">
        <f t="shared" si="1"/>
        <v/>
      </c>
    </row>
    <row r="22" ht="12.75" customHeight="1">
      <c r="B22" s="32" t="s">
        <v>22</v>
      </c>
      <c r="C22" s="33" t="s">
        <v>23</v>
      </c>
      <c r="D22" s="34" t="s">
        <v>24</v>
      </c>
      <c r="E22" s="35" t="s">
        <v>25</v>
      </c>
      <c r="F22" s="36" t="s">
        <v>26</v>
      </c>
      <c r="G22" s="37">
        <v>8.0</v>
      </c>
      <c r="H22" s="27">
        <v>7.0</v>
      </c>
      <c r="I22" s="38">
        <v>7.0</v>
      </c>
      <c r="J22" s="38">
        <v>6.0</v>
      </c>
      <c r="K22" s="38">
        <v>6.0</v>
      </c>
      <c r="L22" s="38">
        <v>5.0</v>
      </c>
      <c r="M22" s="38">
        <v>5.0</v>
      </c>
      <c r="N22" s="38">
        <v>4.0</v>
      </c>
      <c r="O22" s="38">
        <v>4.0</v>
      </c>
      <c r="P22" s="38">
        <v>3.0</v>
      </c>
      <c r="Q22" s="38">
        <v>3.0</v>
      </c>
      <c r="R22" s="38">
        <v>3.0</v>
      </c>
      <c r="S22" s="38">
        <v>3.0</v>
      </c>
      <c r="T22" s="38">
        <v>3.0</v>
      </c>
      <c r="U22" s="38">
        <v>3.0</v>
      </c>
      <c r="V22" s="38">
        <v>3.0</v>
      </c>
      <c r="W22" s="38">
        <v>3.0</v>
      </c>
      <c r="X22" s="38">
        <v>3.0</v>
      </c>
      <c r="Y22" s="38">
        <v>3.0</v>
      </c>
      <c r="Z22" s="38">
        <v>3.0</v>
      </c>
      <c r="AA22" s="38">
        <v>3.0</v>
      </c>
      <c r="AB22" s="38">
        <v>3.0</v>
      </c>
      <c r="AC22" s="1"/>
      <c r="AD22" s="1"/>
      <c r="AE22" s="1" t="str">
        <f t="shared" ref="AE22:AF22" si="2">IF(OR(AE$21="",$G22=""),"",AD22)</f>
        <v/>
      </c>
      <c r="AF22" s="1" t="str">
        <f t="shared" si="2"/>
        <v/>
      </c>
    </row>
    <row r="23" ht="12.75" customHeight="1">
      <c r="B23" s="33" t="s">
        <v>27</v>
      </c>
      <c r="C23" s="33" t="s">
        <v>28</v>
      </c>
      <c r="D23" s="34" t="s">
        <v>24</v>
      </c>
      <c r="E23" s="35" t="s">
        <v>25</v>
      </c>
      <c r="F23" s="36" t="s">
        <v>26</v>
      </c>
      <c r="G23" s="37">
        <v>10.0</v>
      </c>
      <c r="H23" s="1">
        <f t="shared" ref="H23:H30" si="4">IF(OR(H$21="",$G23=""),"",G23)</f>
        <v>10</v>
      </c>
      <c r="I23" s="38">
        <v>9.0</v>
      </c>
      <c r="J23" s="38">
        <v>9.0</v>
      </c>
      <c r="K23" s="38">
        <v>8.0</v>
      </c>
      <c r="L23" s="38">
        <v>7.0</v>
      </c>
      <c r="M23" s="38">
        <v>8.0</v>
      </c>
      <c r="N23" s="38">
        <v>8.0</v>
      </c>
      <c r="O23" s="38">
        <v>6.0</v>
      </c>
      <c r="P23" s="38">
        <v>5.0</v>
      </c>
      <c r="Q23" s="38">
        <v>5.0</v>
      </c>
      <c r="R23" s="38">
        <v>5.0</v>
      </c>
      <c r="S23" s="38">
        <v>5.0</v>
      </c>
      <c r="T23" s="38">
        <v>5.0</v>
      </c>
      <c r="U23" s="38">
        <v>5.0</v>
      </c>
      <c r="V23" s="38">
        <v>5.0</v>
      </c>
      <c r="W23" s="38">
        <v>5.0</v>
      </c>
      <c r="X23" s="38">
        <v>5.0</v>
      </c>
      <c r="Y23" s="38">
        <v>5.0</v>
      </c>
      <c r="Z23" s="38">
        <v>5.0</v>
      </c>
      <c r="AA23" s="38">
        <v>5.0</v>
      </c>
      <c r="AB23" s="38">
        <v>5.0</v>
      </c>
      <c r="AC23" s="1"/>
      <c r="AD23" s="1"/>
      <c r="AE23" s="1" t="str">
        <f t="shared" ref="AE23:AF23" si="3">IF(OR(AE$21="",$G23=""),"",AD23)</f>
        <v/>
      </c>
      <c r="AF23" s="1" t="str">
        <f t="shared" si="3"/>
        <v/>
      </c>
    </row>
    <row r="24" ht="12.75" customHeight="1">
      <c r="B24" s="33" t="s">
        <v>29</v>
      </c>
      <c r="C24" s="33" t="s">
        <v>30</v>
      </c>
      <c r="D24" s="34" t="s">
        <v>24</v>
      </c>
      <c r="E24" s="35" t="s">
        <v>31</v>
      </c>
      <c r="F24" s="36" t="s">
        <v>26</v>
      </c>
      <c r="G24" s="37">
        <v>8.0</v>
      </c>
      <c r="H24" s="1">
        <f t="shared" si="4"/>
        <v>8</v>
      </c>
      <c r="I24" s="38">
        <v>8.0</v>
      </c>
      <c r="J24" s="38">
        <v>7.0</v>
      </c>
      <c r="K24" s="38">
        <v>7.0</v>
      </c>
      <c r="L24" s="38">
        <v>6.0</v>
      </c>
      <c r="M24" s="38">
        <v>6.0</v>
      </c>
      <c r="N24" s="38">
        <v>5.0</v>
      </c>
      <c r="O24" s="38">
        <v>5.0</v>
      </c>
      <c r="P24" s="38">
        <v>4.0</v>
      </c>
      <c r="Q24" s="38">
        <v>4.0</v>
      </c>
      <c r="R24" s="38">
        <v>3.0</v>
      </c>
      <c r="S24" s="38">
        <v>3.0</v>
      </c>
      <c r="T24" s="38">
        <v>3.0</v>
      </c>
      <c r="U24" s="38">
        <v>3.0</v>
      </c>
      <c r="V24" s="38">
        <v>3.0</v>
      </c>
      <c r="W24" s="38">
        <v>3.0</v>
      </c>
      <c r="X24" s="38">
        <v>3.0</v>
      </c>
      <c r="Y24" s="38">
        <v>3.0</v>
      </c>
      <c r="Z24" s="38">
        <v>3.0</v>
      </c>
      <c r="AA24" s="38">
        <v>2.0</v>
      </c>
      <c r="AB24" s="38">
        <v>2.0</v>
      </c>
      <c r="AC24" s="1"/>
      <c r="AD24" s="1"/>
      <c r="AE24" s="1" t="str">
        <f t="shared" ref="AE24:AF24" si="5">IF(OR(AE$21="",$G24=""),"",AD24)</f>
        <v/>
      </c>
      <c r="AF24" s="1" t="str">
        <f t="shared" si="5"/>
        <v/>
      </c>
    </row>
    <row r="25" ht="12.75" customHeight="1">
      <c r="B25" s="33" t="s">
        <v>32</v>
      </c>
      <c r="C25" s="33" t="s">
        <v>33</v>
      </c>
      <c r="D25" s="34" t="s">
        <v>24</v>
      </c>
      <c r="E25" s="35" t="s">
        <v>31</v>
      </c>
      <c r="F25" s="25" t="s">
        <v>26</v>
      </c>
      <c r="G25" s="37">
        <v>8.0</v>
      </c>
      <c r="H25" s="1">
        <f t="shared" si="4"/>
        <v>8</v>
      </c>
      <c r="I25" s="38">
        <v>8.0</v>
      </c>
      <c r="J25" s="38">
        <v>7.0</v>
      </c>
      <c r="K25" s="38">
        <v>8.0</v>
      </c>
      <c r="L25" s="38">
        <v>7.0</v>
      </c>
      <c r="M25" s="38">
        <v>6.0</v>
      </c>
      <c r="N25" s="38">
        <v>6.0</v>
      </c>
      <c r="O25" s="38">
        <v>5.0</v>
      </c>
      <c r="P25" s="38">
        <v>6.0</v>
      </c>
      <c r="Q25" s="38">
        <v>5.0</v>
      </c>
      <c r="R25" s="38">
        <v>4.0</v>
      </c>
      <c r="S25" s="38">
        <v>4.0</v>
      </c>
      <c r="T25" s="38">
        <v>4.0</v>
      </c>
      <c r="U25" s="38">
        <v>4.0</v>
      </c>
      <c r="V25" s="38">
        <v>4.0</v>
      </c>
      <c r="W25" s="38">
        <v>4.0</v>
      </c>
      <c r="X25" s="38">
        <v>4.0</v>
      </c>
      <c r="Y25" s="38">
        <v>3.0</v>
      </c>
      <c r="Z25" s="38">
        <v>3.0</v>
      </c>
      <c r="AA25" s="38">
        <v>3.0</v>
      </c>
      <c r="AB25" s="38">
        <v>3.0</v>
      </c>
      <c r="AC25" s="1"/>
      <c r="AD25" s="1"/>
      <c r="AE25" s="1" t="str">
        <f t="shared" ref="AE25:AF25" si="6">IF(OR(AE$21="",$G25=""),"",AD25)</f>
        <v/>
      </c>
      <c r="AF25" s="1" t="str">
        <f t="shared" si="6"/>
        <v/>
      </c>
    </row>
    <row r="26" ht="12.75" customHeight="1">
      <c r="B26" s="33" t="s">
        <v>34</v>
      </c>
      <c r="C26" s="33" t="s">
        <v>35</v>
      </c>
      <c r="D26" s="34" t="s">
        <v>24</v>
      </c>
      <c r="E26" s="35" t="s">
        <v>36</v>
      </c>
      <c r="F26" s="36" t="s">
        <v>26</v>
      </c>
      <c r="G26" s="37">
        <v>10.0</v>
      </c>
      <c r="H26" s="1">
        <f t="shared" si="4"/>
        <v>10</v>
      </c>
      <c r="I26" s="38">
        <v>10.0</v>
      </c>
      <c r="J26" s="39">
        <v>4.0</v>
      </c>
      <c r="K26" s="39">
        <v>5.0</v>
      </c>
      <c r="L26" s="39">
        <v>5.0</v>
      </c>
      <c r="M26" s="39">
        <v>5.0</v>
      </c>
      <c r="N26" s="39">
        <v>4.0</v>
      </c>
      <c r="O26" s="39">
        <v>4.0</v>
      </c>
      <c r="P26" s="39">
        <v>3.0</v>
      </c>
      <c r="Q26" s="39">
        <v>3.0</v>
      </c>
      <c r="R26" s="39">
        <v>3.0</v>
      </c>
      <c r="S26" s="39">
        <v>3.0</v>
      </c>
      <c r="T26" s="39">
        <v>3.0</v>
      </c>
      <c r="U26" s="39">
        <v>3.0</v>
      </c>
      <c r="V26" s="39">
        <v>3.0</v>
      </c>
      <c r="W26" s="39">
        <v>3.0</v>
      </c>
      <c r="X26" s="39">
        <v>3.0</v>
      </c>
      <c r="Y26" s="39">
        <v>3.0</v>
      </c>
      <c r="Z26" s="39">
        <v>3.0</v>
      </c>
      <c r="AA26" s="39">
        <v>3.0</v>
      </c>
      <c r="AB26" s="39">
        <v>3.0</v>
      </c>
      <c r="AC26" s="1"/>
      <c r="AD26" s="1"/>
      <c r="AE26" s="1" t="str">
        <f t="shared" ref="AE26:AF26" si="7">IF(OR(AE$21="",$G26=""),"",AD26)</f>
        <v/>
      </c>
      <c r="AF26" s="1" t="str">
        <f t="shared" si="7"/>
        <v/>
      </c>
    </row>
    <row r="27" ht="12.75" customHeight="1">
      <c r="B27" s="32" t="s">
        <v>37</v>
      </c>
      <c r="C27" s="33" t="s">
        <v>38</v>
      </c>
      <c r="D27" s="34" t="s">
        <v>39</v>
      </c>
      <c r="E27" s="35" t="s">
        <v>36</v>
      </c>
      <c r="F27" s="36" t="s">
        <v>26</v>
      </c>
      <c r="G27" s="37">
        <v>8.0</v>
      </c>
      <c r="H27" s="1">
        <f t="shared" si="4"/>
        <v>8</v>
      </c>
      <c r="I27" s="38">
        <v>6.0</v>
      </c>
      <c r="J27" s="39">
        <v>6.0</v>
      </c>
      <c r="K27" s="39">
        <v>5.0</v>
      </c>
      <c r="L27" s="39">
        <v>5.0</v>
      </c>
      <c r="M27" s="39">
        <v>4.0</v>
      </c>
      <c r="N27" s="39">
        <v>4.0</v>
      </c>
      <c r="O27" s="39">
        <v>5.0</v>
      </c>
      <c r="P27" s="39">
        <v>3.0</v>
      </c>
      <c r="Q27" s="39">
        <v>3.0</v>
      </c>
      <c r="R27" s="39">
        <v>2.0</v>
      </c>
      <c r="S27" s="39">
        <v>2.0</v>
      </c>
      <c r="T27" s="39">
        <v>2.0</v>
      </c>
      <c r="U27" s="39">
        <v>2.0</v>
      </c>
      <c r="V27" s="39">
        <v>2.0</v>
      </c>
      <c r="W27" s="39">
        <v>2.0</v>
      </c>
      <c r="X27" s="39">
        <v>2.0</v>
      </c>
      <c r="Y27" s="39">
        <v>2.0</v>
      </c>
      <c r="Z27" s="39">
        <v>2.0</v>
      </c>
      <c r="AA27" s="39">
        <v>2.0</v>
      </c>
      <c r="AB27" s="39">
        <v>2.0</v>
      </c>
      <c r="AC27" s="1"/>
      <c r="AD27" s="1"/>
      <c r="AE27" s="1" t="str">
        <f t="shared" ref="AE27:AF27" si="8">IF(OR(AE$21="",$G27=""),"",AD27)</f>
        <v/>
      </c>
      <c r="AF27" s="1" t="str">
        <f t="shared" si="8"/>
        <v/>
      </c>
    </row>
    <row r="28" ht="12.75" customHeight="1">
      <c r="B28" s="33" t="s">
        <v>40</v>
      </c>
      <c r="C28" s="33" t="s">
        <v>41</v>
      </c>
      <c r="D28" s="34" t="s">
        <v>39</v>
      </c>
      <c r="E28" s="35" t="s">
        <v>42</v>
      </c>
      <c r="F28" s="36" t="s">
        <v>26</v>
      </c>
      <c r="G28" s="37">
        <v>6.0</v>
      </c>
      <c r="H28" s="1">
        <f t="shared" si="4"/>
        <v>6</v>
      </c>
      <c r="I28" s="38">
        <v>4.0</v>
      </c>
      <c r="J28" s="39">
        <v>6.0</v>
      </c>
      <c r="K28" s="39">
        <v>5.0</v>
      </c>
      <c r="L28" s="39">
        <v>6.0</v>
      </c>
      <c r="M28" s="39">
        <v>5.0</v>
      </c>
      <c r="N28" s="39">
        <v>4.0</v>
      </c>
      <c r="O28" s="39">
        <v>4.0</v>
      </c>
      <c r="P28" s="39">
        <v>3.0</v>
      </c>
      <c r="Q28" s="39">
        <v>3.0</v>
      </c>
      <c r="R28" s="39">
        <v>3.0</v>
      </c>
      <c r="S28" s="39">
        <v>3.0</v>
      </c>
      <c r="T28" s="39">
        <v>3.0</v>
      </c>
      <c r="U28" s="39">
        <v>3.0</v>
      </c>
      <c r="V28" s="39">
        <v>3.0</v>
      </c>
      <c r="W28" s="39">
        <v>3.0</v>
      </c>
      <c r="X28" s="39">
        <v>3.0</v>
      </c>
      <c r="Y28" s="39">
        <v>3.0</v>
      </c>
      <c r="Z28" s="39">
        <v>3.0</v>
      </c>
      <c r="AA28" s="39">
        <v>3.0</v>
      </c>
      <c r="AB28" s="39">
        <v>3.0</v>
      </c>
      <c r="AC28" s="1"/>
      <c r="AD28" s="1"/>
      <c r="AE28" s="1" t="str">
        <f t="shared" ref="AE28:AF28" si="9">IF(OR(AE$21="",$G28=""),"",AD28)</f>
        <v/>
      </c>
      <c r="AF28" s="1" t="str">
        <f t="shared" si="9"/>
        <v/>
      </c>
    </row>
    <row r="29" ht="12.75" customHeight="1">
      <c r="B29" s="33" t="s">
        <v>43</v>
      </c>
      <c r="C29" s="33" t="s">
        <v>44</v>
      </c>
      <c r="D29" s="34" t="s">
        <v>39</v>
      </c>
      <c r="E29" s="35" t="s">
        <v>42</v>
      </c>
      <c r="F29" s="36" t="s">
        <v>26</v>
      </c>
      <c r="G29" s="37">
        <v>8.0</v>
      </c>
      <c r="H29" s="1">
        <f t="shared" si="4"/>
        <v>8</v>
      </c>
      <c r="I29" s="38">
        <v>7.0</v>
      </c>
      <c r="J29" s="39">
        <v>7.0</v>
      </c>
      <c r="K29" s="39">
        <v>6.0</v>
      </c>
      <c r="L29" s="39">
        <v>6.0</v>
      </c>
      <c r="M29" s="39">
        <v>5.0</v>
      </c>
      <c r="N29" s="39">
        <v>5.0</v>
      </c>
      <c r="O29" s="39">
        <v>4.0</v>
      </c>
      <c r="P29" s="39">
        <v>3.0</v>
      </c>
      <c r="Q29" s="39">
        <v>3.0</v>
      </c>
      <c r="R29" s="39">
        <v>2.0</v>
      </c>
      <c r="S29" s="39">
        <v>2.0</v>
      </c>
      <c r="T29" s="39">
        <v>2.0</v>
      </c>
      <c r="U29" s="39">
        <v>2.0</v>
      </c>
      <c r="V29" s="39">
        <v>2.0</v>
      </c>
      <c r="W29" s="39">
        <v>2.0</v>
      </c>
      <c r="X29" s="39">
        <v>2.0</v>
      </c>
      <c r="Y29" s="39">
        <v>2.0</v>
      </c>
      <c r="Z29" s="39">
        <v>2.0</v>
      </c>
      <c r="AA29" s="39">
        <v>2.0</v>
      </c>
      <c r="AB29" s="39">
        <v>2.0</v>
      </c>
      <c r="AC29" s="1"/>
      <c r="AD29" s="1"/>
      <c r="AE29" s="1" t="str">
        <f t="shared" ref="AE29:AF29" si="10">IF(OR(AE$21="",$G29=""),"",AD29)</f>
        <v/>
      </c>
      <c r="AF29" s="1" t="str">
        <f t="shared" si="10"/>
        <v/>
      </c>
    </row>
    <row r="30" ht="12.75" customHeight="1">
      <c r="B30" s="33" t="s">
        <v>45</v>
      </c>
      <c r="C30" s="33" t="s">
        <v>46</v>
      </c>
      <c r="D30" s="34" t="s">
        <v>39</v>
      </c>
      <c r="E30" s="35" t="s">
        <v>47</v>
      </c>
      <c r="F30" s="36" t="s">
        <v>26</v>
      </c>
      <c r="G30" s="37">
        <v>6.0</v>
      </c>
      <c r="H30" s="1">
        <f t="shared" si="4"/>
        <v>6</v>
      </c>
      <c r="I30" s="38">
        <v>4.0</v>
      </c>
      <c r="J30" s="39">
        <v>6.0</v>
      </c>
      <c r="K30" s="39">
        <v>5.0</v>
      </c>
      <c r="L30" s="39">
        <v>6.0</v>
      </c>
      <c r="M30" s="39">
        <v>5.0</v>
      </c>
      <c r="N30" s="39">
        <v>4.0</v>
      </c>
      <c r="O30" s="39">
        <v>4.0</v>
      </c>
      <c r="P30" s="39">
        <v>3.0</v>
      </c>
      <c r="Q30" s="39">
        <v>3.0</v>
      </c>
      <c r="R30" s="39">
        <v>3.0</v>
      </c>
      <c r="S30" s="39">
        <v>3.0</v>
      </c>
      <c r="T30" s="39">
        <v>3.0</v>
      </c>
      <c r="U30" s="39">
        <v>3.0</v>
      </c>
      <c r="V30" s="39">
        <v>3.0</v>
      </c>
      <c r="W30" s="39">
        <v>3.0</v>
      </c>
      <c r="X30" s="39">
        <v>3.0</v>
      </c>
      <c r="Y30" s="39">
        <v>3.0</v>
      </c>
      <c r="Z30" s="39">
        <v>3.0</v>
      </c>
      <c r="AA30" s="39">
        <v>2.0</v>
      </c>
      <c r="AB30" s="39">
        <v>2.0</v>
      </c>
      <c r="AC30" s="1"/>
      <c r="AD30" s="1"/>
      <c r="AE30" s="1" t="str">
        <f t="shared" ref="AE30:AF30" si="11">IF(OR(AE$21="",$G30=""),"",AD30)</f>
        <v/>
      </c>
      <c r="AF30" s="1" t="str">
        <f t="shared" si="11"/>
        <v/>
      </c>
    </row>
    <row r="31" ht="12.75" customHeight="1"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 t="str">
        <f t="shared" ref="AE31:AF31" si="12">IF(OR(AE$21="",$G31=""),"",AD31)</f>
        <v/>
      </c>
      <c r="AF31" s="1" t="str">
        <f t="shared" si="12"/>
        <v/>
      </c>
    </row>
    <row r="32" ht="12.75" customHeight="1"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 t="str">
        <f t="shared" ref="AE32:AF32" si="13">IF(OR(AE$21="",$G32=""),"",AD32)</f>
        <v/>
      </c>
      <c r="AF32" s="1" t="str">
        <f t="shared" si="13"/>
        <v/>
      </c>
    </row>
    <row r="33" ht="12.75" customHeight="1"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 t="str">
        <f t="shared" ref="AE33:AF33" si="14">IF(OR(AE$21="",$G33=""),"",AD33)</f>
        <v/>
      </c>
      <c r="AF33" s="1" t="str">
        <f t="shared" si="14"/>
        <v/>
      </c>
    </row>
    <row r="34" ht="12.75" customHeight="1"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 t="str">
        <f t="shared" ref="AE34:AF34" si="15">IF(OR(AE$21="",$G34=""),"",AD34)</f>
        <v/>
      </c>
      <c r="AF34" s="1" t="str">
        <f t="shared" si="15"/>
        <v/>
      </c>
    </row>
    <row r="35" ht="12.75" customHeight="1"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 t="str">
        <f t="shared" ref="AE35:AF35" si="16">IF(OR(AE$21="",$G35=""),"",AD35)</f>
        <v/>
      </c>
      <c r="AF35" s="1" t="str">
        <f t="shared" si="16"/>
        <v/>
      </c>
    </row>
    <row r="36" ht="12.75" customHeight="1"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 t="str">
        <f t="shared" ref="AE36:AF36" si="17">IF(OR(AE$21="",$G36=""),"",AD36)</f>
        <v/>
      </c>
      <c r="AF36" s="1" t="str">
        <f t="shared" si="17"/>
        <v/>
      </c>
    </row>
    <row r="37" ht="12.75" customHeight="1"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 t="str">
        <f t="shared" ref="AE37:AF37" si="18">IF(OR(AE$21="",$G37=""),"",AD37)</f>
        <v/>
      </c>
      <c r="AF37" s="1" t="str">
        <f t="shared" si="18"/>
        <v/>
      </c>
    </row>
    <row r="38" ht="12.75" customHeight="1"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 t="str">
        <f t="shared" ref="AE38:AF38" si="19">IF(OR(AE$21="",$G38=""),"",AD38)</f>
        <v/>
      </c>
      <c r="AF38" s="1" t="str">
        <f t="shared" si="19"/>
        <v/>
      </c>
    </row>
    <row r="39" ht="12.75" customHeight="1"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 t="str">
        <f t="shared" ref="AE39:AF39" si="20">IF(OR(AE$21="",$G39=""),"",AD39)</f>
        <v/>
      </c>
      <c r="AF39" s="1" t="str">
        <f t="shared" si="20"/>
        <v/>
      </c>
    </row>
    <row r="40" ht="12.75" customHeight="1"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 t="str">
        <f t="shared" ref="AE40:AF40" si="21">IF(OR(AE$21="",$G40=""),"",AD40)</f>
        <v/>
      </c>
      <c r="AF40" s="1" t="str">
        <f t="shared" si="21"/>
        <v/>
      </c>
    </row>
    <row r="41" ht="12.75" customHeight="1"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 t="str">
        <f t="shared" ref="AE41:AF41" si="22">IF(OR(AE$21="",$G41=""),"",AD41)</f>
        <v/>
      </c>
      <c r="AF41" s="1" t="str">
        <f t="shared" si="22"/>
        <v/>
      </c>
    </row>
    <row r="42" ht="12.75" customHeight="1"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 t="str">
        <f t="shared" ref="AE42:AF42" si="23">IF(OR(AE$21="",$G42=""),"",AD42)</f>
        <v/>
      </c>
      <c r="AF42" s="1" t="str">
        <f t="shared" si="23"/>
        <v/>
      </c>
    </row>
    <row r="43" ht="12.75" customHeight="1"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 t="str">
        <f t="shared" ref="AE43:AF43" si="24">IF(OR(AE$21="",$G43=""),"",AD43)</f>
        <v/>
      </c>
      <c r="AF43" s="1" t="str">
        <f t="shared" si="24"/>
        <v/>
      </c>
    </row>
    <row r="44" ht="12.75" customHeight="1"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 t="str">
        <f t="shared" ref="AE44:AF44" si="25">IF(OR(AE$21="",$G44=""),"",AD44)</f>
        <v/>
      </c>
      <c r="AF44" s="1" t="str">
        <f t="shared" si="25"/>
        <v/>
      </c>
    </row>
    <row r="45" ht="12.75" customHeight="1"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 t="str">
        <f t="shared" ref="AE45:AF45" si="26">IF(OR(AE$21="",$G45=""),"",AD45)</f>
        <v/>
      </c>
      <c r="AF45" s="1" t="str">
        <f t="shared" si="26"/>
        <v/>
      </c>
    </row>
    <row r="46" ht="12.75" customHeight="1"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 t="str">
        <f t="shared" ref="AE46:AF46" si="27">IF(OR(AE$21="",$G46=""),"",AD46)</f>
        <v/>
      </c>
      <c r="AF46" s="1" t="str">
        <f t="shared" si="27"/>
        <v/>
      </c>
    </row>
    <row r="47" ht="12.75" customHeight="1"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 t="str">
        <f t="shared" ref="AE47:AF47" si="28">IF(OR(AE$21="",$G47=""),"",AD47)</f>
        <v/>
      </c>
      <c r="AF47" s="1" t="str">
        <f t="shared" si="28"/>
        <v/>
      </c>
    </row>
    <row r="48" ht="12.75" customHeight="1"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 t="str">
        <f t="shared" ref="AE48:AF48" si="29">IF(OR(AE$21="",$G48=""),"",AD48)</f>
        <v/>
      </c>
      <c r="AF48" s="1" t="str">
        <f t="shared" si="29"/>
        <v/>
      </c>
    </row>
    <row r="49" ht="12.75" customHeight="1"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 t="str">
        <f t="shared" ref="AE49:AF49" si="30">IF(OR(AE$21="",$G49=""),"",AD49)</f>
        <v/>
      </c>
      <c r="AF49" s="1" t="str">
        <f t="shared" si="30"/>
        <v/>
      </c>
    </row>
    <row r="50" ht="12.75" customHeight="1"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 t="str">
        <f t="shared" ref="AE50:AF50" si="31">IF(OR(AE$21="",$G50=""),"",AD50)</f>
        <v/>
      </c>
      <c r="AF50" s="1" t="str">
        <f t="shared" si="31"/>
        <v/>
      </c>
    </row>
    <row r="51" ht="12.75" customHeight="1"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 t="str">
        <f t="shared" ref="AE51:AF51" si="32">IF(OR(AE$21="",$G51=""),"",AD51)</f>
        <v/>
      </c>
      <c r="AF51" s="1" t="str">
        <f t="shared" si="32"/>
        <v/>
      </c>
    </row>
    <row r="52" ht="12.75" customHeight="1"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 t="str">
        <f t="shared" ref="AE52:AF52" si="33">IF(OR(AE$21="",$G52=""),"",AD52)</f>
        <v/>
      </c>
      <c r="AF52" s="1" t="str">
        <f t="shared" si="33"/>
        <v/>
      </c>
    </row>
    <row r="53" ht="12.75" customHeight="1"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 t="str">
        <f t="shared" ref="AE53:AF53" si="34">IF(OR(AE$21="",$G53=""),"",AD53)</f>
        <v/>
      </c>
      <c r="AF53" s="1" t="str">
        <f t="shared" si="34"/>
        <v/>
      </c>
    </row>
    <row r="54" ht="12.75" customHeight="1"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 t="str">
        <f t="shared" ref="AE54:AF54" si="35">IF(OR(AE$21="",$G54=""),"",AD54)</f>
        <v/>
      </c>
      <c r="AF54" s="1" t="str">
        <f t="shared" si="35"/>
        <v/>
      </c>
    </row>
    <row r="55" ht="12.75" customHeight="1"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 t="str">
        <f t="shared" ref="AE55:AF55" si="36">IF(OR(AE$21="",$G55=""),"",AD55)</f>
        <v/>
      </c>
      <c r="AF55" s="1" t="str">
        <f t="shared" si="36"/>
        <v/>
      </c>
    </row>
    <row r="56" ht="12.75" customHeight="1"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 t="str">
        <f t="shared" ref="AE56:AF56" si="37">IF(OR(AE$21="",$G56=""),"",AD56)</f>
        <v/>
      </c>
      <c r="AF56" s="1" t="str">
        <f t="shared" si="37"/>
        <v/>
      </c>
    </row>
    <row r="57" ht="12.75" customHeight="1"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 t="str">
        <f t="shared" ref="AE57:AF57" si="38">IF(OR(AE$21="",$G57=""),"",AD57)</f>
        <v/>
      </c>
      <c r="AF57" s="1" t="str">
        <f t="shared" si="38"/>
        <v/>
      </c>
    </row>
    <row r="58" ht="12.75" customHeight="1"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 t="str">
        <f t="shared" ref="AE58:AF58" si="39">IF(OR(AE$21="",$G58=""),"",AD58)</f>
        <v/>
      </c>
      <c r="AF58" s="1" t="str">
        <f t="shared" si="39"/>
        <v/>
      </c>
    </row>
    <row r="59" ht="12.75" customHeight="1"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 t="str">
        <f t="shared" ref="AE59:AF59" si="40">IF(OR(AE$21="",$G59=""),"",AD59)</f>
        <v/>
      </c>
      <c r="AF59" s="1" t="str">
        <f t="shared" si="40"/>
        <v/>
      </c>
    </row>
    <row r="60" ht="12.75" customHeight="1"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 t="str">
        <f t="shared" ref="AE60:AF60" si="41">IF(OR(AE$21="",$G60=""),"",AD60)</f>
        <v/>
      </c>
      <c r="AF60" s="1" t="str">
        <f t="shared" si="41"/>
        <v/>
      </c>
    </row>
    <row r="61" ht="12.75" customHeight="1"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 t="str">
        <f t="shared" ref="AE61:AF61" si="42">IF(OR(AE$21="",$G61=""),"",AD61)</f>
        <v/>
      </c>
      <c r="AF61" s="1" t="str">
        <f t="shared" si="42"/>
        <v/>
      </c>
    </row>
    <row r="62" ht="12.75" customHeight="1">
      <c r="J62" s="1" t="str">
        <f t="shared" ref="J62:AF62" si="43">IF(OR(J$21="",$G62=""),"",I62)</f>
        <v/>
      </c>
      <c r="K62" s="1" t="str">
        <f t="shared" si="43"/>
        <v/>
      </c>
      <c r="L62" s="1" t="str">
        <f t="shared" si="43"/>
        <v/>
      </c>
      <c r="M62" s="1" t="str">
        <f t="shared" si="43"/>
        <v/>
      </c>
      <c r="N62" s="1" t="str">
        <f t="shared" si="43"/>
        <v/>
      </c>
      <c r="O62" s="1" t="str">
        <f t="shared" si="43"/>
        <v/>
      </c>
      <c r="P62" s="1" t="str">
        <f t="shared" si="43"/>
        <v/>
      </c>
      <c r="Q62" s="1" t="str">
        <f t="shared" si="43"/>
        <v/>
      </c>
      <c r="R62" s="1" t="str">
        <f t="shared" si="43"/>
        <v/>
      </c>
      <c r="S62" s="1" t="str">
        <f t="shared" si="43"/>
        <v/>
      </c>
      <c r="T62" s="1" t="str">
        <f t="shared" si="43"/>
        <v/>
      </c>
      <c r="U62" s="1" t="str">
        <f t="shared" si="43"/>
        <v/>
      </c>
      <c r="V62" s="1" t="str">
        <f t="shared" si="43"/>
        <v/>
      </c>
      <c r="W62" s="1" t="str">
        <f t="shared" si="43"/>
        <v/>
      </c>
      <c r="X62" s="1" t="str">
        <f t="shared" si="43"/>
        <v/>
      </c>
      <c r="Y62" s="1" t="str">
        <f t="shared" si="43"/>
        <v/>
      </c>
      <c r="Z62" s="1" t="str">
        <f t="shared" si="43"/>
        <v/>
      </c>
      <c r="AA62" s="1" t="str">
        <f t="shared" si="43"/>
        <v/>
      </c>
      <c r="AB62" s="1" t="str">
        <f t="shared" si="43"/>
        <v/>
      </c>
      <c r="AC62" s="1" t="str">
        <f t="shared" si="43"/>
        <v/>
      </c>
      <c r="AD62" s="1" t="str">
        <f t="shared" si="43"/>
        <v/>
      </c>
      <c r="AE62" s="1" t="str">
        <f t="shared" si="43"/>
        <v/>
      </c>
      <c r="AF62" s="1" t="str">
        <f t="shared" si="43"/>
        <v/>
      </c>
    </row>
    <row r="63" ht="12.75" customHeight="1">
      <c r="J63" s="1" t="str">
        <f t="shared" ref="J63:AF63" si="44">IF(OR(J$21="",$G63=""),"",I63)</f>
        <v/>
      </c>
      <c r="K63" s="1" t="str">
        <f t="shared" si="44"/>
        <v/>
      </c>
      <c r="L63" s="1" t="str">
        <f t="shared" si="44"/>
        <v/>
      </c>
      <c r="M63" s="1" t="str">
        <f t="shared" si="44"/>
        <v/>
      </c>
      <c r="N63" s="1" t="str">
        <f t="shared" si="44"/>
        <v/>
      </c>
      <c r="O63" s="1" t="str">
        <f t="shared" si="44"/>
        <v/>
      </c>
      <c r="P63" s="1" t="str">
        <f t="shared" si="44"/>
        <v/>
      </c>
      <c r="Q63" s="1" t="str">
        <f t="shared" si="44"/>
        <v/>
      </c>
      <c r="R63" s="1" t="str">
        <f t="shared" si="44"/>
        <v/>
      </c>
      <c r="S63" s="1" t="str">
        <f t="shared" si="44"/>
        <v/>
      </c>
      <c r="T63" s="1" t="str">
        <f t="shared" si="44"/>
        <v/>
      </c>
      <c r="U63" s="1" t="str">
        <f t="shared" si="44"/>
        <v/>
      </c>
      <c r="V63" s="1" t="str">
        <f t="shared" si="44"/>
        <v/>
      </c>
      <c r="W63" s="1" t="str">
        <f t="shared" si="44"/>
        <v/>
      </c>
      <c r="X63" s="1" t="str">
        <f t="shared" si="44"/>
        <v/>
      </c>
      <c r="Y63" s="1" t="str">
        <f t="shared" si="44"/>
        <v/>
      </c>
      <c r="Z63" s="1" t="str">
        <f t="shared" si="44"/>
        <v/>
      </c>
      <c r="AA63" s="1" t="str">
        <f t="shared" si="44"/>
        <v/>
      </c>
      <c r="AB63" s="1" t="str">
        <f t="shared" si="44"/>
        <v/>
      </c>
      <c r="AC63" s="1" t="str">
        <f t="shared" si="44"/>
        <v/>
      </c>
      <c r="AD63" s="1" t="str">
        <f t="shared" si="44"/>
        <v/>
      </c>
      <c r="AE63" s="1" t="str">
        <f t="shared" si="44"/>
        <v/>
      </c>
      <c r="AF63" s="1" t="str">
        <f t="shared" si="44"/>
        <v/>
      </c>
    </row>
    <row r="64" ht="12.75" customHeight="1"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 t="str">
        <f t="shared" ref="AE64:AF64" si="45">IF(OR(AE$21="",$G64=""),"",AD64)</f>
        <v/>
      </c>
      <c r="AF64" s="1" t="str">
        <f t="shared" si="45"/>
        <v/>
      </c>
    </row>
    <row r="65" ht="12.75" customHeight="1"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 t="str">
        <f t="shared" ref="AE65:AF65" si="46">IF(OR(AE$21="",$G65=""),"",AD65)</f>
        <v/>
      </c>
      <c r="AF65" s="1" t="str">
        <f t="shared" si="46"/>
        <v/>
      </c>
    </row>
    <row r="66" ht="12.75" customHeight="1"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ht="12.75" customHeight="1"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ht="12.75" customHeight="1"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ht="12.75" customHeight="1"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ht="12.75" customHeight="1"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ht="12.75" customHeight="1"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ht="12.75" customHeight="1"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ht="12.75" customHeight="1"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ht="12.75" customHeight="1">
      <c r="D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ht="12.75" customHeight="1">
      <c r="D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ht="12.75" customHeight="1">
      <c r="D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ht="12.75" customHeight="1">
      <c r="D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ht="12.75" customHeight="1">
      <c r="D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ht="12.75" customHeight="1">
      <c r="D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ht="12.75" customHeight="1">
      <c r="D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ht="12.75" customHeight="1">
      <c r="D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ht="12.75" customHeight="1">
      <c r="D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ht="12.75" customHeight="1">
      <c r="D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ht="12.75" customHeight="1">
      <c r="D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ht="12.75" customHeight="1">
      <c r="D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ht="12.75" customHeight="1">
      <c r="D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ht="12.75" customHeight="1">
      <c r="D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ht="12.75" customHeight="1">
      <c r="D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ht="12.75" customHeight="1">
      <c r="D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ht="12.75" customHeight="1">
      <c r="D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ht="12.75" customHeight="1">
      <c r="D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ht="12.75" customHeight="1">
      <c r="D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ht="12.75" customHeight="1">
      <c r="D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ht="12.75" customHeight="1">
      <c r="D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ht="12.75" customHeight="1">
      <c r="D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ht="12.75" customHeight="1">
      <c r="D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ht="12.75" customHeight="1">
      <c r="D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ht="12.75" customHeight="1">
      <c r="D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ht="12.75" customHeight="1">
      <c r="D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ht="12.75" customHeight="1">
      <c r="D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ht="12.75" customHeight="1">
      <c r="D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ht="12.75" customHeight="1">
      <c r="D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ht="12.75" customHeight="1">
      <c r="D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ht="12.75" customHeight="1">
      <c r="D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ht="12.75" customHeight="1">
      <c r="D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ht="12.75" customHeight="1">
      <c r="D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ht="12.75" customHeight="1">
      <c r="D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ht="12.75" customHeight="1">
      <c r="D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ht="12.75" customHeight="1">
      <c r="D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ht="12.75" customHeight="1">
      <c r="D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ht="12.75" customHeight="1">
      <c r="D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ht="12.75" customHeight="1">
      <c r="D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ht="12.75" customHeight="1">
      <c r="D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ht="12.75" customHeight="1">
      <c r="D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ht="12.75" customHeight="1">
      <c r="D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ht="12.75" customHeight="1">
      <c r="D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ht="12.75" customHeight="1">
      <c r="D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ht="12.75" customHeight="1">
      <c r="D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ht="12.75" customHeight="1">
      <c r="D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ht="12.75" customHeight="1">
      <c r="D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ht="12.75" customHeight="1">
      <c r="D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ht="12.75" customHeight="1">
      <c r="D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ht="12.75" customHeight="1">
      <c r="D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 ht="12.75" customHeight="1">
      <c r="D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 ht="12.75" customHeight="1">
      <c r="D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 ht="12.75" customHeight="1">
      <c r="D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 ht="12.75" customHeight="1">
      <c r="D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ht="12.75" customHeight="1">
      <c r="D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ht="12.75" customHeight="1">
      <c r="D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 ht="12.75" customHeight="1">
      <c r="D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ht="12.75" customHeight="1">
      <c r="D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ht="12.75" customHeight="1">
      <c r="D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 ht="12.75" customHeight="1">
      <c r="D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ht="12.75" customHeight="1">
      <c r="D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 ht="12.75" customHeight="1">
      <c r="D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 ht="12.75" customHeight="1">
      <c r="D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ht="12.75" customHeight="1">
      <c r="D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ht="12.75" customHeight="1">
      <c r="D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 ht="12.75" customHeight="1">
      <c r="D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ht="12.75" customHeight="1">
      <c r="D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ht="12.75" customHeight="1">
      <c r="D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ht="12.75" customHeight="1">
      <c r="D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 ht="12.75" customHeight="1">
      <c r="D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ht="12.75" customHeight="1">
      <c r="D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ht="12.75" customHeight="1">
      <c r="D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 ht="12.75" customHeight="1">
      <c r="D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ht="12.75" customHeight="1">
      <c r="D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ht="12.75" customHeight="1">
      <c r="D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ht="12.75" customHeight="1">
      <c r="D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ht="12.75" customHeight="1">
      <c r="D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ht="12.75" customHeight="1">
      <c r="D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ht="12.75" customHeight="1">
      <c r="D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ht="12.75" customHeight="1">
      <c r="D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ht="12.75" customHeight="1">
      <c r="D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ht="12.75" customHeight="1">
      <c r="D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ht="12.75" customHeight="1">
      <c r="D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ht="12.75" customHeight="1">
      <c r="D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ht="12.75" customHeight="1">
      <c r="D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ht="12.75" customHeight="1">
      <c r="D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ht="12.75" customHeight="1">
      <c r="D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ht="12.75" customHeight="1">
      <c r="D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ht="12.75" customHeight="1">
      <c r="D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ht="12.75" customHeight="1">
      <c r="D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ht="12.75" customHeight="1">
      <c r="D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ht="12.75" customHeight="1">
      <c r="D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ht="12.75" customHeight="1">
      <c r="D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ht="12.75" customHeight="1">
      <c r="D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ht="12.75" customHeight="1">
      <c r="D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ht="12.75" customHeight="1">
      <c r="D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ht="12.75" customHeight="1">
      <c r="D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ht="12.75" customHeight="1">
      <c r="D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ht="12.75" customHeight="1">
      <c r="D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ht="12.75" customHeight="1">
      <c r="D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ht="12.75" customHeight="1">
      <c r="D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ht="12.75" customHeight="1">
      <c r="D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ht="12.75" customHeight="1">
      <c r="D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ht="12.75" customHeight="1">
      <c r="D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ht="12.75" customHeight="1">
      <c r="D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ht="12.75" customHeight="1">
      <c r="D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ht="12.75" customHeight="1">
      <c r="D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ht="12.75" customHeight="1">
      <c r="D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ht="12.75" customHeight="1">
      <c r="D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ht="12.75" customHeight="1">
      <c r="D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ht="12.75" customHeight="1">
      <c r="D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ht="12.75" customHeight="1">
      <c r="D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ht="12.75" customHeight="1">
      <c r="D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ht="12.75" customHeight="1">
      <c r="D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ht="12.75" customHeight="1">
      <c r="D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ht="12.75" customHeight="1">
      <c r="D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ht="12.75" customHeight="1">
      <c r="D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ht="12.75" customHeight="1">
      <c r="D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ht="12.75" customHeight="1">
      <c r="D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ht="12.75" customHeight="1">
      <c r="D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ht="12.75" customHeight="1">
      <c r="D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ht="12.75" customHeight="1">
      <c r="D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ht="12.75" customHeight="1">
      <c r="D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ht="12.75" customHeight="1">
      <c r="D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ht="12.75" customHeight="1">
      <c r="D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ht="12.75" customHeight="1">
      <c r="D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ht="12.75" customHeight="1">
      <c r="D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ht="12.75" customHeight="1">
      <c r="D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ht="12.75" customHeight="1">
      <c r="D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ht="12.75" customHeight="1">
      <c r="D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ht="12.75" customHeight="1">
      <c r="D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ht="12.75" customHeight="1">
      <c r="D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ht="12.75" customHeight="1">
      <c r="D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ht="12.75" customHeight="1">
      <c r="D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ht="12.75" customHeight="1">
      <c r="D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ht="12.75" customHeight="1">
      <c r="D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ht="12.75" customHeight="1">
      <c r="D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ht="12.75" customHeight="1">
      <c r="D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ht="12.75" customHeight="1">
      <c r="D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ht="12.75" customHeight="1">
      <c r="D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ht="12.75" customHeight="1">
      <c r="D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 ht="12.75" customHeight="1">
      <c r="D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ht="12.75" customHeight="1">
      <c r="D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ht="12.75" customHeight="1">
      <c r="D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ht="12.75" customHeight="1">
      <c r="D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ht="12.75" customHeight="1">
      <c r="D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ht="12.75" customHeight="1">
      <c r="D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ht="12.75" customHeight="1">
      <c r="D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 ht="12.75" customHeight="1">
      <c r="D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ht="12.75" customHeight="1">
      <c r="D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ht="12.75" customHeight="1">
      <c r="D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ht="12.75" customHeight="1">
      <c r="D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ht="12.75" customHeight="1">
      <c r="D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ht="12.75" customHeight="1">
      <c r="D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ht="12.75" customHeight="1">
      <c r="D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ht="12.75" customHeight="1">
      <c r="D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ht="12.75" customHeight="1">
      <c r="D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ht="12.75" customHeight="1">
      <c r="D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ht="12.75" customHeight="1">
      <c r="D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ht="12.75" customHeight="1">
      <c r="D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ht="12.75" customHeight="1">
      <c r="D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ht="12.75" customHeight="1">
      <c r="D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ht="12.75" customHeight="1">
      <c r="D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ht="12.75" customHeight="1">
      <c r="D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ht="12.75" customHeight="1">
      <c r="D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ht="12.75" customHeight="1">
      <c r="D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ht="12.75" customHeight="1">
      <c r="D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ht="12.75" customHeight="1">
      <c r="D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ht="12.75" customHeight="1">
      <c r="D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ht="12.75" customHeight="1">
      <c r="D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ht="12.75" customHeight="1">
      <c r="D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ht="12.75" customHeight="1">
      <c r="D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 ht="12.75" customHeight="1">
      <c r="D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 ht="12.75" customHeight="1">
      <c r="D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ht="12.75" customHeight="1">
      <c r="D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ht="12.75" customHeight="1">
      <c r="D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ht="12.75" customHeight="1">
      <c r="D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ht="12.75" customHeight="1">
      <c r="D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ht="12.75" customHeight="1">
      <c r="D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 ht="12.75" customHeight="1">
      <c r="D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 ht="12.75" customHeight="1">
      <c r="D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 ht="12.75" customHeight="1">
      <c r="D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 ht="12.75" customHeight="1">
      <c r="D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 ht="12.75" customHeight="1">
      <c r="D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 ht="12.75" customHeight="1">
      <c r="D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 ht="12.75" customHeight="1">
      <c r="D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 ht="12.75" customHeight="1">
      <c r="D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 ht="12.75" customHeight="1">
      <c r="D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 ht="12.75" customHeight="1">
      <c r="D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 ht="12.75" customHeight="1">
      <c r="D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 ht="12.75" customHeight="1">
      <c r="D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 ht="12.75" customHeight="1">
      <c r="D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 ht="12.75" customHeight="1">
      <c r="D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 ht="12.75" customHeight="1">
      <c r="D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 ht="12.75" customHeight="1">
      <c r="D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 ht="12.75" customHeight="1">
      <c r="D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 ht="12.75" customHeight="1">
      <c r="D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 ht="12.75" customHeight="1">
      <c r="D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 ht="12.75" customHeight="1">
      <c r="D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 ht="12.75" customHeight="1">
      <c r="D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 ht="12.75" customHeight="1">
      <c r="D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 ht="12.75" customHeight="1">
      <c r="D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 ht="12.75" customHeight="1">
      <c r="D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 ht="12.75" customHeight="1">
      <c r="D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 ht="12.75" customHeight="1">
      <c r="D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 ht="12.75" customHeight="1">
      <c r="D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 ht="12.75" customHeight="1">
      <c r="D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 ht="12.75" customHeight="1">
      <c r="D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 ht="12.75" customHeight="1">
      <c r="D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 ht="12.75" customHeight="1">
      <c r="D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 ht="12.75" customHeight="1">
      <c r="D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 ht="12.75" customHeight="1">
      <c r="D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 ht="12.75" customHeight="1">
      <c r="D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 ht="12.75" customHeight="1">
      <c r="D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 ht="12.75" customHeight="1">
      <c r="D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 ht="12.75" customHeight="1">
      <c r="D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 ht="12.75" customHeight="1">
      <c r="D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 ht="12.75" customHeight="1">
      <c r="D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 ht="12.75" customHeight="1">
      <c r="D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 ht="12.75" customHeight="1">
      <c r="D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 ht="12.75" customHeight="1">
      <c r="D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 ht="12.75" customHeight="1">
      <c r="D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 ht="12.75" customHeight="1">
      <c r="D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 ht="12.75" customHeight="1">
      <c r="D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 ht="12.75" customHeight="1">
      <c r="D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 ht="12.75" customHeight="1">
      <c r="D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 ht="12.75" customHeight="1">
      <c r="D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 ht="12.75" customHeight="1">
      <c r="D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 ht="12.75" customHeight="1">
      <c r="D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 ht="12.75" customHeight="1">
      <c r="D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 ht="12.75" customHeight="1">
      <c r="D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 ht="12.75" customHeight="1">
      <c r="D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 ht="12.75" customHeight="1">
      <c r="D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 ht="12.75" customHeight="1">
      <c r="D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 ht="12.75" customHeight="1">
      <c r="D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 ht="12.75" customHeight="1">
      <c r="D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 ht="12.75" customHeight="1">
      <c r="D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 ht="12.75" customHeight="1">
      <c r="D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 ht="12.75" customHeight="1">
      <c r="D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 ht="12.75" customHeight="1">
      <c r="D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 ht="12.75" customHeight="1">
      <c r="D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 ht="12.75" customHeight="1">
      <c r="D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 ht="12.75" customHeight="1">
      <c r="D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 ht="12.75" customHeight="1">
      <c r="D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 ht="12.75" customHeight="1">
      <c r="D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 ht="12.75" customHeight="1">
      <c r="D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 ht="12.75" customHeight="1">
      <c r="D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 ht="12.75" customHeight="1">
      <c r="D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 ht="12.75" customHeight="1">
      <c r="D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 ht="12.75" customHeight="1">
      <c r="D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 ht="12.75" customHeight="1">
      <c r="D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 ht="12.75" customHeight="1">
      <c r="D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 ht="12.75" customHeight="1">
      <c r="D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 ht="12.75" customHeight="1">
      <c r="D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 ht="12.75" customHeight="1">
      <c r="D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 ht="12.75" customHeight="1">
      <c r="D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 ht="12.75" customHeight="1">
      <c r="D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 ht="12.75" customHeight="1">
      <c r="D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 ht="12.75" customHeight="1">
      <c r="D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 ht="12.75" customHeight="1">
      <c r="D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 ht="12.75" customHeight="1">
      <c r="D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 ht="12.75" customHeight="1">
      <c r="D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 ht="12.75" customHeight="1">
      <c r="D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 ht="12.75" customHeight="1">
      <c r="D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 ht="12.75" customHeight="1">
      <c r="D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 ht="12.75" customHeight="1">
      <c r="D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 ht="12.75" customHeight="1">
      <c r="D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 ht="12.75" customHeight="1">
      <c r="D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 ht="12.75" customHeight="1">
      <c r="D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 ht="12.75" customHeight="1">
      <c r="D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 ht="12.75" customHeight="1">
      <c r="D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 ht="12.75" customHeight="1">
      <c r="D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 ht="12.75" customHeight="1">
      <c r="D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 ht="12.75" customHeight="1">
      <c r="D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 ht="12.75" customHeight="1">
      <c r="D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 ht="12.75" customHeight="1">
      <c r="D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 ht="12.75" customHeight="1">
      <c r="D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 ht="12.75" customHeight="1">
      <c r="D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 ht="12.75" customHeight="1">
      <c r="D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 ht="12.75" customHeight="1">
      <c r="D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 ht="12.75" customHeight="1">
      <c r="D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 ht="12.75" customHeight="1">
      <c r="D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 ht="12.75" customHeight="1">
      <c r="D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 ht="12.75" customHeight="1">
      <c r="D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 ht="12.75" customHeight="1">
      <c r="D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 ht="12.75" customHeight="1">
      <c r="D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 ht="12.75" customHeight="1">
      <c r="D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 ht="12.75" customHeight="1">
      <c r="D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 ht="12.75" customHeight="1">
      <c r="D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 ht="12.75" customHeight="1">
      <c r="D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 ht="12.75" customHeight="1">
      <c r="D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 ht="12.75" customHeight="1">
      <c r="D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 ht="12.75" customHeight="1">
      <c r="D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 ht="12.75" customHeight="1">
      <c r="D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 ht="12.75" customHeight="1">
      <c r="D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 ht="12.75" customHeight="1">
      <c r="D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 ht="12.75" customHeight="1">
      <c r="D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 ht="12.75" customHeight="1">
      <c r="D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 ht="12.75" customHeight="1">
      <c r="D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 ht="12.75" customHeight="1">
      <c r="D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 ht="12.75" customHeight="1">
      <c r="D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 ht="12.75" customHeight="1">
      <c r="D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 ht="12.75" customHeight="1">
      <c r="D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 ht="12.75" customHeight="1">
      <c r="D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 ht="12.75" customHeight="1">
      <c r="D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 ht="12.75" customHeight="1">
      <c r="D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 ht="12.75" customHeight="1">
      <c r="D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 ht="12.75" customHeight="1">
      <c r="D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 ht="12.75" customHeight="1">
      <c r="D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 ht="12.75" customHeight="1">
      <c r="D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 ht="12.75" customHeight="1">
      <c r="D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 ht="12.75" customHeight="1">
      <c r="D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 ht="12.75" customHeight="1">
      <c r="D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 ht="12.75" customHeight="1">
      <c r="D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 ht="12.75" customHeight="1">
      <c r="D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 ht="12.75" customHeight="1">
      <c r="D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 ht="12.75" customHeight="1">
      <c r="D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 ht="12.75" customHeight="1">
      <c r="D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 ht="12.75" customHeight="1">
      <c r="D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 ht="12.75" customHeight="1">
      <c r="D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 ht="12.75" customHeight="1">
      <c r="D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 ht="12.75" customHeight="1">
      <c r="D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 ht="12.75" customHeight="1">
      <c r="D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 ht="12.75" customHeight="1">
      <c r="D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 ht="12.75" customHeight="1">
      <c r="D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 ht="12.75" customHeight="1">
      <c r="D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 ht="12.75" customHeight="1">
      <c r="D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 ht="12.75" customHeight="1">
      <c r="D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 ht="12.75" customHeight="1">
      <c r="D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 ht="12.75" customHeight="1">
      <c r="D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 ht="12.75" customHeight="1">
      <c r="D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 ht="12.75" customHeight="1">
      <c r="D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 ht="12.75" customHeight="1">
      <c r="D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 ht="12.75" customHeight="1">
      <c r="D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 ht="12.75" customHeight="1">
      <c r="D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 ht="12.75" customHeight="1">
      <c r="D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 ht="12.75" customHeight="1">
      <c r="D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 ht="12.75" customHeight="1">
      <c r="D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 ht="12.75" customHeight="1">
      <c r="D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 ht="12.75" customHeight="1">
      <c r="D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 ht="12.75" customHeight="1">
      <c r="D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 ht="12.75" customHeight="1">
      <c r="D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 ht="12.75" customHeight="1">
      <c r="D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 ht="12.75" customHeight="1">
      <c r="D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 ht="12.75" customHeight="1">
      <c r="D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 ht="12.75" customHeight="1">
      <c r="D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 ht="12.75" customHeight="1">
      <c r="D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 ht="12.75" customHeight="1">
      <c r="D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 ht="12.75" customHeight="1">
      <c r="D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 ht="12.75" customHeight="1">
      <c r="D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 ht="12.75" customHeight="1">
      <c r="D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 ht="12.75" customHeight="1">
      <c r="D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 ht="12.75" customHeight="1">
      <c r="D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 ht="12.75" customHeight="1">
      <c r="D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 ht="12.75" customHeight="1">
      <c r="D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 ht="12.75" customHeight="1">
      <c r="D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 ht="12.75" customHeight="1">
      <c r="D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 ht="12.75" customHeight="1">
      <c r="D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 ht="12.75" customHeight="1">
      <c r="D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 ht="12.75" customHeight="1">
      <c r="D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 ht="12.75" customHeight="1">
      <c r="D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 ht="12.75" customHeight="1">
      <c r="D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 ht="12.75" customHeight="1">
      <c r="D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 ht="12.75" customHeight="1">
      <c r="D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 ht="12.75" customHeight="1">
      <c r="D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 ht="12.75" customHeight="1">
      <c r="D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 ht="12.75" customHeight="1">
      <c r="D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 ht="12.75" customHeight="1">
      <c r="D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 ht="12.75" customHeight="1">
      <c r="D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 ht="12.75" customHeight="1">
      <c r="D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 ht="12.75" customHeight="1">
      <c r="D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 ht="12.75" customHeight="1">
      <c r="D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 ht="12.75" customHeight="1">
      <c r="D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 ht="12.75" customHeight="1">
      <c r="D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 ht="12.75" customHeight="1">
      <c r="D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 ht="12.75" customHeight="1">
      <c r="D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 ht="12.75" customHeight="1">
      <c r="D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 ht="12.75" customHeight="1">
      <c r="D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 ht="12.75" customHeight="1">
      <c r="D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 ht="12.75" customHeight="1">
      <c r="D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 ht="12.75" customHeight="1">
      <c r="D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 ht="12.75" customHeight="1">
      <c r="D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 ht="12.75" customHeight="1">
      <c r="D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 ht="12.75" customHeight="1">
      <c r="D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 ht="12.75" customHeight="1">
      <c r="D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 ht="12.75" customHeight="1">
      <c r="D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 ht="12.75" customHeight="1">
      <c r="D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 ht="12.75" customHeight="1">
      <c r="D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 ht="12.75" customHeight="1">
      <c r="D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 ht="12.75" customHeight="1">
      <c r="D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 ht="12.75" customHeight="1">
      <c r="D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 ht="12.75" customHeight="1">
      <c r="D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 ht="12.75" customHeight="1">
      <c r="D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 ht="12.75" customHeight="1">
      <c r="D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 ht="12.75" customHeight="1">
      <c r="D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 ht="12.75" customHeight="1">
      <c r="D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 ht="12.75" customHeight="1">
      <c r="D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 ht="12.75" customHeight="1">
      <c r="D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 ht="12.75" customHeight="1">
      <c r="D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 ht="12.75" customHeight="1">
      <c r="D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 ht="12.75" customHeight="1">
      <c r="D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 ht="12.75" customHeight="1">
      <c r="D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 ht="12.75" customHeight="1">
      <c r="D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 ht="12.75" customHeight="1">
      <c r="D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 ht="12.75" customHeight="1">
      <c r="D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 ht="12.75" customHeight="1">
      <c r="D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 ht="12.75" customHeight="1">
      <c r="D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 ht="12.75" customHeight="1">
      <c r="D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 ht="12.75" customHeight="1">
      <c r="D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 ht="12.75" customHeight="1">
      <c r="D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 ht="12.75" customHeight="1">
      <c r="D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 ht="12.75" customHeight="1">
      <c r="D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 ht="12.75" customHeight="1">
      <c r="D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 ht="12.75" customHeight="1">
      <c r="D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 ht="12.75" customHeight="1">
      <c r="D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 ht="12.75" customHeight="1">
      <c r="D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 ht="12.75" customHeight="1">
      <c r="D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 ht="12.75" customHeight="1">
      <c r="D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 ht="12.75" customHeight="1">
      <c r="D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 ht="12.75" customHeight="1">
      <c r="D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 ht="12.75" customHeight="1">
      <c r="D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 ht="12.75" customHeight="1">
      <c r="D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 ht="12.75" customHeight="1">
      <c r="D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 ht="12.75" customHeight="1">
      <c r="D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 ht="12.75" customHeight="1">
      <c r="D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 ht="12.75" customHeight="1">
      <c r="D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 ht="12.75" customHeight="1">
      <c r="D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 ht="12.75" customHeight="1">
      <c r="D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 ht="12.75" customHeight="1">
      <c r="D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 ht="12.75" customHeight="1">
      <c r="D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 ht="12.75" customHeight="1">
      <c r="D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 ht="12.75" customHeight="1">
      <c r="D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 ht="12.75" customHeight="1">
      <c r="D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 ht="12.75" customHeight="1">
      <c r="D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 ht="12.75" customHeight="1">
      <c r="D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 ht="12.75" customHeight="1">
      <c r="D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 ht="12.75" customHeight="1">
      <c r="D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 ht="12.75" customHeight="1">
      <c r="D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 ht="12.75" customHeight="1">
      <c r="D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 ht="12.75" customHeight="1">
      <c r="D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 ht="12.75" customHeight="1">
      <c r="D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 ht="12.75" customHeight="1">
      <c r="D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 ht="12.75" customHeight="1">
      <c r="D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 ht="12.75" customHeight="1">
      <c r="D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 ht="12.75" customHeight="1">
      <c r="D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 ht="12.75" customHeight="1">
      <c r="D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 ht="12.75" customHeight="1">
      <c r="D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 ht="12.75" customHeight="1">
      <c r="D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 ht="12.75" customHeight="1">
      <c r="D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 ht="12.75" customHeight="1">
      <c r="D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 ht="12.75" customHeight="1">
      <c r="D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 ht="12.75" customHeight="1">
      <c r="D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 ht="12.75" customHeight="1">
      <c r="D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 ht="12.75" customHeight="1">
      <c r="D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 ht="12.75" customHeight="1">
      <c r="D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 ht="12.75" customHeight="1">
      <c r="D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 ht="12.75" customHeight="1">
      <c r="D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 ht="12.75" customHeight="1">
      <c r="D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 ht="12.75" customHeight="1">
      <c r="D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 ht="12.75" customHeight="1">
      <c r="D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 ht="12.75" customHeight="1">
      <c r="D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 ht="12.75" customHeight="1">
      <c r="D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 ht="12.75" customHeight="1">
      <c r="D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 ht="12.75" customHeight="1">
      <c r="D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 ht="12.75" customHeight="1">
      <c r="D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 ht="12.75" customHeight="1">
      <c r="D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 ht="12.75" customHeight="1">
      <c r="D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 ht="12.75" customHeight="1">
      <c r="D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 ht="12.75" customHeight="1">
      <c r="D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 ht="12.75" customHeight="1">
      <c r="D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 ht="12.75" customHeight="1">
      <c r="D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 ht="12.75" customHeight="1">
      <c r="D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 ht="12.75" customHeight="1">
      <c r="D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 ht="12.75" customHeight="1">
      <c r="D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 ht="12.75" customHeight="1">
      <c r="D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 ht="12.75" customHeight="1">
      <c r="D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 ht="12.75" customHeight="1">
      <c r="D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 ht="12.75" customHeight="1">
      <c r="D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 ht="12.75" customHeight="1">
      <c r="D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 ht="12.75" customHeight="1">
      <c r="D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 ht="12.75" customHeight="1">
      <c r="D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 ht="12.75" customHeight="1">
      <c r="D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 ht="12.75" customHeight="1">
      <c r="D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 ht="12.75" customHeight="1">
      <c r="D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 ht="12.75" customHeight="1">
      <c r="D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 ht="12.75" customHeight="1">
      <c r="D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 ht="12.75" customHeight="1">
      <c r="D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 ht="12.75" customHeight="1">
      <c r="D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 ht="12.75" customHeight="1">
      <c r="D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 ht="12.75" customHeight="1">
      <c r="D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 ht="12.75" customHeight="1">
      <c r="D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 ht="12.75" customHeight="1">
      <c r="D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 ht="12.75" customHeight="1">
      <c r="D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 ht="12.75" customHeight="1">
      <c r="D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 ht="12.75" customHeight="1">
      <c r="D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 ht="12.75" customHeight="1">
      <c r="D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 ht="12.75" customHeight="1">
      <c r="D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 ht="12.75" customHeight="1">
      <c r="D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 ht="12.75" customHeight="1">
      <c r="D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 ht="12.75" customHeight="1">
      <c r="D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 ht="12.75" customHeight="1">
      <c r="D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 ht="12.75" customHeight="1">
      <c r="D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 ht="12.75" customHeight="1">
      <c r="D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 ht="12.75" customHeight="1">
      <c r="D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 ht="12.75" customHeight="1">
      <c r="D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 ht="12.75" customHeight="1">
      <c r="D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 ht="12.75" customHeight="1">
      <c r="D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 ht="12.75" customHeight="1">
      <c r="D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 ht="12.75" customHeight="1">
      <c r="D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 ht="12.75" customHeight="1">
      <c r="D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 ht="12.75" customHeight="1">
      <c r="D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 ht="12.75" customHeight="1">
      <c r="D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 ht="12.75" customHeight="1">
      <c r="D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 ht="12.75" customHeight="1">
      <c r="D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 ht="12.75" customHeight="1">
      <c r="D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 ht="12.75" customHeight="1">
      <c r="D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 ht="12.75" customHeight="1">
      <c r="D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 ht="12.75" customHeight="1">
      <c r="D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 ht="12.75" customHeight="1">
      <c r="D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 ht="12.75" customHeight="1">
      <c r="D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 ht="12.75" customHeight="1">
      <c r="D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 ht="12.75" customHeight="1">
      <c r="D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 ht="12.75" customHeight="1">
      <c r="D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 ht="12.75" customHeight="1">
      <c r="D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 ht="12.75" customHeight="1">
      <c r="D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 ht="12.75" customHeight="1">
      <c r="D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 ht="12.75" customHeight="1">
      <c r="D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 ht="12.75" customHeight="1">
      <c r="D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 ht="12.75" customHeight="1">
      <c r="D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 ht="12.75" customHeight="1">
      <c r="D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 ht="12.75" customHeight="1">
      <c r="D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 ht="12.75" customHeight="1">
      <c r="D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 ht="12.75" customHeight="1">
      <c r="D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 ht="12.75" customHeight="1">
      <c r="D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 ht="12.75" customHeight="1">
      <c r="D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 ht="12.75" customHeight="1">
      <c r="D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 ht="12.75" customHeight="1">
      <c r="D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 ht="12.75" customHeight="1">
      <c r="D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 ht="12.75" customHeight="1">
      <c r="D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 ht="12.75" customHeight="1">
      <c r="D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 ht="12.75" customHeight="1">
      <c r="D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 ht="12.75" customHeight="1">
      <c r="D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 ht="12.75" customHeight="1">
      <c r="D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 ht="12.75" customHeight="1">
      <c r="D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 ht="12.75" customHeight="1">
      <c r="D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 ht="12.75" customHeight="1">
      <c r="D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 ht="12.75" customHeight="1">
      <c r="D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 ht="12.75" customHeight="1">
      <c r="D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 ht="12.75" customHeight="1">
      <c r="D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 ht="12.75" customHeight="1">
      <c r="D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 ht="12.75" customHeight="1">
      <c r="D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 ht="12.75" customHeight="1">
      <c r="D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 ht="12.75" customHeight="1">
      <c r="D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 ht="12.75" customHeight="1">
      <c r="D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 ht="12.75" customHeight="1">
      <c r="D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 ht="12.75" customHeight="1">
      <c r="D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 ht="12.75" customHeight="1">
      <c r="D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 ht="12.75" customHeight="1">
      <c r="D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 ht="12.75" customHeight="1">
      <c r="D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 ht="12.75" customHeight="1">
      <c r="D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 ht="12.75" customHeight="1">
      <c r="D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 ht="12.75" customHeight="1">
      <c r="D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 ht="12.75" customHeight="1">
      <c r="D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 ht="12.75" customHeight="1">
      <c r="D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 ht="12.75" customHeight="1">
      <c r="D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 ht="12.75" customHeight="1">
      <c r="D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 ht="12.75" customHeight="1">
      <c r="D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 ht="12.75" customHeight="1">
      <c r="D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 ht="12.75" customHeight="1">
      <c r="D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 ht="12.75" customHeight="1">
      <c r="D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 ht="12.75" customHeight="1">
      <c r="D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 ht="12.75" customHeight="1">
      <c r="D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 ht="12.75" customHeight="1">
      <c r="D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 ht="12.75" customHeight="1">
      <c r="D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 ht="12.75" customHeight="1">
      <c r="D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 ht="12.75" customHeight="1">
      <c r="D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 ht="12.75" customHeight="1">
      <c r="D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 ht="12.75" customHeight="1">
      <c r="D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 ht="12.75" customHeight="1">
      <c r="D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 ht="12.75" customHeight="1">
      <c r="D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 ht="12.75" customHeight="1">
      <c r="D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 ht="12.75" customHeight="1">
      <c r="D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 ht="12.75" customHeight="1">
      <c r="D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 ht="12.75" customHeight="1">
      <c r="D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 ht="12.75" customHeight="1">
      <c r="D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 ht="12.75" customHeight="1">
      <c r="D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 ht="12.75" customHeight="1">
      <c r="D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 ht="12.75" customHeight="1">
      <c r="D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 ht="12.75" customHeight="1">
      <c r="D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 ht="12.75" customHeight="1">
      <c r="D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 ht="12.75" customHeight="1">
      <c r="D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 ht="12.75" customHeight="1">
      <c r="D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 ht="12.75" customHeight="1">
      <c r="D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 ht="12.75" customHeight="1">
      <c r="D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 ht="12.75" customHeight="1">
      <c r="D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 ht="12.75" customHeight="1">
      <c r="D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 ht="12.75" customHeight="1">
      <c r="D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 ht="12.75" customHeight="1">
      <c r="D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 ht="12.75" customHeight="1">
      <c r="D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 ht="12.75" customHeight="1">
      <c r="D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 ht="12.75" customHeight="1">
      <c r="D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 ht="12.75" customHeight="1">
      <c r="D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 ht="12.75" customHeight="1">
      <c r="D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 ht="12.75" customHeight="1">
      <c r="D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 ht="12.75" customHeight="1">
      <c r="D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 ht="12.75" customHeight="1">
      <c r="D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 ht="12.75" customHeight="1">
      <c r="D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 ht="12.75" customHeight="1">
      <c r="D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 ht="12.75" customHeight="1">
      <c r="D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 ht="12.75" customHeight="1">
      <c r="D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 ht="12.75" customHeight="1">
      <c r="D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 ht="12.75" customHeight="1">
      <c r="D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 ht="12.75" customHeight="1">
      <c r="D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 ht="12.75" customHeight="1">
      <c r="D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 ht="12.75" customHeight="1">
      <c r="D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 ht="12.75" customHeight="1">
      <c r="D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 ht="12.75" customHeight="1">
      <c r="D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 ht="12.75" customHeight="1">
      <c r="D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 ht="12.75" customHeight="1">
      <c r="D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 ht="12.75" customHeight="1">
      <c r="D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 ht="12.75" customHeight="1">
      <c r="D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 ht="12.75" customHeight="1">
      <c r="D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 ht="12.75" customHeight="1">
      <c r="D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 ht="12.75" customHeight="1">
      <c r="D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 ht="12.75" customHeight="1">
      <c r="D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 ht="12.75" customHeight="1">
      <c r="D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 ht="12.75" customHeight="1">
      <c r="D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 ht="12.75" customHeight="1">
      <c r="D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 ht="12.75" customHeight="1">
      <c r="D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 ht="12.75" customHeight="1">
      <c r="D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 ht="12.75" customHeight="1">
      <c r="D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 ht="12.75" customHeight="1">
      <c r="D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 ht="12.75" customHeight="1">
      <c r="D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 ht="12.75" customHeight="1">
      <c r="D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 ht="12.75" customHeight="1">
      <c r="D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 ht="12.75" customHeight="1">
      <c r="D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 ht="12.75" customHeight="1">
      <c r="D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 ht="12.75" customHeight="1">
      <c r="D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 ht="12.75" customHeight="1">
      <c r="D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 ht="12.75" customHeight="1">
      <c r="D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 ht="12.75" customHeight="1">
      <c r="D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 ht="12.75" customHeight="1">
      <c r="D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 ht="12.75" customHeight="1">
      <c r="D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 ht="12.75" customHeight="1">
      <c r="D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 ht="12.75" customHeight="1">
      <c r="D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 ht="12.75" customHeight="1">
      <c r="D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 ht="12.75" customHeight="1">
      <c r="D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 ht="12.75" customHeight="1">
      <c r="D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 ht="12.75" customHeight="1">
      <c r="D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 ht="12.75" customHeight="1">
      <c r="D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 ht="12.75" customHeight="1">
      <c r="D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 ht="12.75" customHeight="1">
      <c r="D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 ht="12.75" customHeight="1">
      <c r="D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 ht="12.75" customHeight="1">
      <c r="D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 ht="12.75" customHeight="1">
      <c r="D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 ht="12.75" customHeight="1">
      <c r="D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 ht="12.75" customHeight="1">
      <c r="D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 ht="12.75" customHeight="1">
      <c r="D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 ht="12.75" customHeight="1">
      <c r="D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 ht="12.75" customHeight="1">
      <c r="D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 ht="12.75" customHeight="1">
      <c r="D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 ht="12.75" customHeight="1">
      <c r="D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 ht="12.75" customHeight="1">
      <c r="D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 ht="12.75" customHeight="1">
      <c r="D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 ht="12.75" customHeight="1">
      <c r="D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 ht="12.75" customHeight="1">
      <c r="D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 ht="12.75" customHeight="1">
      <c r="D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 ht="12.75" customHeight="1">
      <c r="D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 ht="12.75" customHeight="1">
      <c r="D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 ht="12.75" customHeight="1">
      <c r="D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 ht="12.75" customHeight="1">
      <c r="D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 ht="12.75" customHeight="1">
      <c r="D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 ht="12.75" customHeight="1">
      <c r="D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 ht="12.75" customHeight="1">
      <c r="D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 ht="12.75" customHeight="1">
      <c r="D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 ht="12.75" customHeight="1">
      <c r="D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 ht="12.75" customHeight="1">
      <c r="D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 ht="12.75" customHeight="1">
      <c r="D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 ht="12.75" customHeight="1">
      <c r="D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 ht="12.75" customHeight="1">
      <c r="D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 ht="12.75" customHeight="1">
      <c r="D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 ht="12.75" customHeight="1">
      <c r="D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 ht="12.75" customHeight="1">
      <c r="D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 ht="12.75" customHeight="1">
      <c r="D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 ht="12.75" customHeight="1">
      <c r="D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 ht="12.75" customHeight="1">
      <c r="D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 ht="12.75" customHeight="1">
      <c r="D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 ht="12.75" customHeight="1">
      <c r="D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 ht="12.75" customHeight="1">
      <c r="D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 ht="12.75" customHeight="1">
      <c r="D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 ht="12.75" customHeight="1">
      <c r="D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 ht="12.75" customHeight="1">
      <c r="D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 ht="12.75" customHeight="1">
      <c r="D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 ht="12.75" customHeight="1">
      <c r="D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 ht="12.75" customHeight="1">
      <c r="D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 ht="12.75" customHeight="1">
      <c r="D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 ht="12.75" customHeight="1">
      <c r="D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 ht="12.75" customHeight="1">
      <c r="D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 ht="12.75" customHeight="1">
      <c r="D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 ht="12.75" customHeight="1">
      <c r="D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 ht="12.75" customHeight="1">
      <c r="D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 ht="12.75" customHeight="1">
      <c r="D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 ht="12.75" customHeight="1">
      <c r="D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 ht="12.75" customHeight="1">
      <c r="D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 ht="12.75" customHeight="1">
      <c r="D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 ht="12.75" customHeight="1">
      <c r="D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 ht="12.75" customHeight="1">
      <c r="D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 ht="12.75" customHeight="1">
      <c r="D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 ht="12.75" customHeight="1">
      <c r="D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 ht="12.75" customHeight="1">
      <c r="D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 ht="12.75" customHeight="1">
      <c r="D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 ht="12.75" customHeight="1">
      <c r="D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 ht="12.75" customHeight="1">
      <c r="D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 ht="12.75" customHeight="1">
      <c r="D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 ht="12.75" customHeight="1">
      <c r="D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 ht="12.75" customHeight="1">
      <c r="D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 ht="12.75" customHeight="1">
      <c r="D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 ht="12.75" customHeight="1">
      <c r="D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 ht="12.75" customHeight="1">
      <c r="D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 ht="12.75" customHeight="1">
      <c r="D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 ht="12.75" customHeight="1">
      <c r="D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 ht="12.75" customHeight="1">
      <c r="D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 ht="12.75" customHeight="1">
      <c r="D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 ht="12.75" customHeight="1">
      <c r="D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 ht="12.75" customHeight="1">
      <c r="D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 ht="12.75" customHeight="1">
      <c r="D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 ht="12.75" customHeight="1">
      <c r="D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 ht="12.75" customHeight="1">
      <c r="D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 ht="12.75" customHeight="1">
      <c r="D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 ht="12.75" customHeight="1">
      <c r="D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 ht="12.75" customHeight="1">
      <c r="D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 ht="12.75" customHeight="1">
      <c r="D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 ht="12.75" customHeight="1">
      <c r="D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 ht="12.75" customHeight="1">
      <c r="D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 ht="12.75" customHeight="1">
      <c r="D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 ht="12.75" customHeight="1">
      <c r="D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 ht="12.75" customHeight="1">
      <c r="D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 ht="12.75" customHeight="1">
      <c r="D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 ht="12.75" customHeight="1">
      <c r="D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 ht="12.75" customHeight="1">
      <c r="D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 ht="12.75" customHeight="1">
      <c r="D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 ht="12.75" customHeight="1">
      <c r="D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 ht="12.75" customHeight="1">
      <c r="D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 ht="12.75" customHeight="1">
      <c r="D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 ht="12.75" customHeight="1">
      <c r="D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 ht="12.75" customHeight="1">
      <c r="D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 ht="12.75" customHeight="1">
      <c r="D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 ht="12.75" customHeight="1">
      <c r="D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 ht="12.75" customHeight="1">
      <c r="D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 ht="12.75" customHeight="1">
      <c r="D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 ht="12.75" customHeight="1">
      <c r="D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 ht="12.75" customHeight="1">
      <c r="D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 ht="12.75" customHeight="1">
      <c r="D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 ht="12.75" customHeight="1">
      <c r="D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 ht="12.75" customHeight="1">
      <c r="D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 ht="12.75" customHeight="1">
      <c r="D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 ht="12.75" customHeight="1">
      <c r="D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 ht="12.75" customHeight="1">
      <c r="D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 ht="12.75" customHeight="1">
      <c r="D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 ht="12.75" customHeight="1">
      <c r="D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 ht="12.75" customHeight="1">
      <c r="D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 ht="12.75" customHeight="1">
      <c r="D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 ht="12.75" customHeight="1">
      <c r="D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 ht="12.75" customHeight="1">
      <c r="D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 ht="12.75" customHeight="1">
      <c r="D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</row>
    <row r="839" ht="12.75" customHeight="1">
      <c r="D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 ht="12.75" customHeight="1">
      <c r="D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 ht="12.75" customHeight="1">
      <c r="D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 ht="12.75" customHeight="1">
      <c r="D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 ht="12.75" customHeight="1">
      <c r="D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 ht="12.75" customHeight="1">
      <c r="D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 ht="12.75" customHeight="1">
      <c r="D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 ht="12.75" customHeight="1">
      <c r="D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 ht="12.75" customHeight="1">
      <c r="D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 ht="12.75" customHeight="1">
      <c r="D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 ht="12.75" customHeight="1">
      <c r="D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 ht="12.75" customHeight="1">
      <c r="D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 ht="12.75" customHeight="1">
      <c r="D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 ht="12.75" customHeight="1">
      <c r="D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 ht="12.75" customHeight="1">
      <c r="D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 ht="12.75" customHeight="1">
      <c r="D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 ht="12.75" customHeight="1">
      <c r="D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 ht="12.75" customHeight="1">
      <c r="D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 ht="12.75" customHeight="1">
      <c r="D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 ht="12.75" customHeight="1">
      <c r="D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 ht="12.75" customHeight="1">
      <c r="D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 ht="12.75" customHeight="1">
      <c r="D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 ht="12.75" customHeight="1">
      <c r="D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 ht="12.75" customHeight="1">
      <c r="D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 ht="12.75" customHeight="1">
      <c r="D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 ht="12.75" customHeight="1">
      <c r="D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 ht="12.75" customHeight="1">
      <c r="D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 ht="12.75" customHeight="1">
      <c r="D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 ht="12.75" customHeight="1">
      <c r="D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 ht="12.75" customHeight="1">
      <c r="D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 ht="12.75" customHeight="1">
      <c r="D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 ht="12.75" customHeight="1">
      <c r="D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</row>
    <row r="871" ht="12.75" customHeight="1">
      <c r="D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</row>
    <row r="872" ht="12.75" customHeight="1">
      <c r="D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 ht="12.75" customHeight="1">
      <c r="D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 ht="12.75" customHeight="1">
      <c r="D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</row>
    <row r="875" ht="12.75" customHeight="1">
      <c r="D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 ht="12.75" customHeight="1">
      <c r="D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</row>
    <row r="877" ht="12.75" customHeight="1">
      <c r="D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</row>
    <row r="878" ht="12.75" customHeight="1">
      <c r="D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 ht="12.75" customHeight="1">
      <c r="D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 ht="12.75" customHeight="1">
      <c r="D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</row>
    <row r="881" ht="12.75" customHeight="1">
      <c r="D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 ht="12.75" customHeight="1">
      <c r="D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</row>
    <row r="883" ht="12.75" customHeight="1">
      <c r="D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</row>
    <row r="884" ht="12.75" customHeight="1">
      <c r="D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</row>
    <row r="885" ht="12.75" customHeight="1">
      <c r="D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</row>
    <row r="886" ht="12.75" customHeight="1">
      <c r="D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 ht="12.75" customHeight="1">
      <c r="D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</row>
    <row r="888" ht="12.75" customHeight="1">
      <c r="D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 ht="12.75" customHeight="1">
      <c r="D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</row>
    <row r="890" ht="12.75" customHeight="1">
      <c r="D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 ht="12.75" customHeight="1">
      <c r="D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</row>
    <row r="892" ht="12.75" customHeight="1">
      <c r="D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 ht="12.75" customHeight="1">
      <c r="D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</row>
    <row r="894" ht="12.75" customHeight="1">
      <c r="D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</row>
    <row r="895" ht="12.75" customHeight="1">
      <c r="D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 ht="12.75" customHeight="1">
      <c r="D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</row>
    <row r="897" ht="12.75" customHeight="1">
      <c r="D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 ht="12.75" customHeight="1">
      <c r="D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</row>
    <row r="899" ht="12.75" customHeight="1">
      <c r="D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</row>
    <row r="900" ht="12.75" customHeight="1">
      <c r="D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</row>
    <row r="901" ht="12.75" customHeight="1">
      <c r="D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</row>
    <row r="902" ht="12.75" customHeight="1">
      <c r="D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 ht="12.75" customHeight="1">
      <c r="D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 ht="12.75" customHeight="1">
      <c r="D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 ht="12.75" customHeight="1">
      <c r="D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  <row r="906" ht="12.75" customHeight="1">
      <c r="D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</row>
    <row r="907" ht="12.75" customHeight="1">
      <c r="D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</row>
    <row r="908" ht="12.75" customHeight="1">
      <c r="D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</row>
    <row r="909" ht="12.75" customHeight="1">
      <c r="D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</row>
    <row r="910" ht="12.75" customHeight="1">
      <c r="D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</row>
    <row r="911" ht="12.75" customHeight="1">
      <c r="D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</row>
    <row r="912" ht="12.75" customHeight="1">
      <c r="D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</row>
    <row r="913" ht="12.75" customHeight="1">
      <c r="D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</row>
    <row r="914" ht="12.75" customHeight="1">
      <c r="D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</row>
    <row r="915" ht="12.75" customHeight="1">
      <c r="D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</row>
    <row r="916" ht="12.75" customHeight="1">
      <c r="D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</row>
    <row r="917" ht="12.75" customHeight="1">
      <c r="D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</row>
    <row r="918" ht="12.75" customHeight="1">
      <c r="D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</row>
    <row r="919" ht="12.75" customHeight="1">
      <c r="D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</row>
    <row r="920" ht="12.75" customHeight="1">
      <c r="D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</row>
    <row r="921" ht="12.75" customHeight="1">
      <c r="D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</row>
    <row r="922" ht="12.75" customHeight="1">
      <c r="D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</row>
    <row r="923" ht="12.75" customHeight="1">
      <c r="D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</row>
    <row r="924" ht="12.75" customHeight="1">
      <c r="D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</row>
    <row r="925" ht="12.75" customHeight="1">
      <c r="D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</row>
    <row r="926" ht="12.75" customHeight="1">
      <c r="D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</row>
    <row r="927" ht="12.75" customHeight="1">
      <c r="D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</row>
    <row r="928" ht="12.75" customHeight="1">
      <c r="D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</row>
    <row r="929" ht="12.75" customHeight="1">
      <c r="D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</row>
    <row r="930" ht="12.75" customHeight="1">
      <c r="D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</row>
    <row r="931" ht="12.75" customHeight="1">
      <c r="D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</row>
    <row r="932" ht="12.75" customHeight="1">
      <c r="D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</row>
    <row r="933" ht="12.75" customHeight="1">
      <c r="D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</row>
    <row r="934" ht="12.75" customHeight="1">
      <c r="D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</row>
    <row r="935" ht="12.75" customHeight="1">
      <c r="D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</row>
    <row r="936" ht="12.75" customHeight="1">
      <c r="D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</row>
    <row r="937" ht="12.75" customHeight="1">
      <c r="D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</row>
    <row r="938" ht="12.75" customHeight="1">
      <c r="D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</row>
    <row r="939" ht="12.75" customHeight="1">
      <c r="D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</row>
    <row r="940" ht="12.75" customHeight="1">
      <c r="D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</row>
    <row r="941" ht="12.75" customHeight="1">
      <c r="D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</row>
    <row r="942" ht="12.75" customHeight="1">
      <c r="D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</row>
    <row r="943" ht="12.75" customHeight="1">
      <c r="D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</row>
    <row r="944" ht="12.75" customHeight="1">
      <c r="D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</row>
    <row r="945" ht="12.75" customHeight="1">
      <c r="D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</row>
    <row r="946" ht="12.75" customHeight="1">
      <c r="D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</row>
    <row r="947" ht="12.75" customHeight="1">
      <c r="D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</row>
    <row r="948" ht="12.75" customHeight="1">
      <c r="D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</row>
    <row r="949" ht="12.75" customHeight="1">
      <c r="D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</row>
    <row r="950" ht="12.75" customHeight="1">
      <c r="D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</row>
    <row r="951" ht="12.75" customHeight="1">
      <c r="D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</row>
    <row r="952" ht="12.75" customHeight="1">
      <c r="D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</row>
    <row r="953" ht="12.75" customHeight="1">
      <c r="D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</row>
    <row r="954" ht="12.75" customHeight="1">
      <c r="D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</row>
    <row r="955" ht="12.75" customHeight="1">
      <c r="D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</row>
    <row r="956" ht="12.75" customHeight="1">
      <c r="D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</row>
    <row r="957" ht="12.75" customHeight="1">
      <c r="D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</row>
    <row r="958" ht="12.75" customHeight="1">
      <c r="D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</row>
    <row r="959" ht="12.75" customHeight="1">
      <c r="D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</row>
    <row r="960" ht="12.75" customHeight="1">
      <c r="D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</row>
    <row r="961" ht="12.75" customHeight="1">
      <c r="D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</row>
    <row r="962" ht="12.75" customHeight="1">
      <c r="D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</row>
    <row r="963" ht="12.75" customHeight="1">
      <c r="D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</row>
    <row r="964" ht="12.75" customHeight="1">
      <c r="D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</row>
    <row r="965" ht="12.75" customHeight="1">
      <c r="D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</row>
    <row r="966" ht="12.75" customHeight="1">
      <c r="D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</row>
    <row r="967" ht="12.75" customHeight="1">
      <c r="D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</row>
    <row r="968" ht="12.75" customHeight="1">
      <c r="D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</row>
    <row r="969" ht="12.75" customHeight="1">
      <c r="D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</row>
    <row r="970" ht="12.75" customHeight="1">
      <c r="D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</row>
    <row r="971" ht="12.75" customHeight="1">
      <c r="D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</row>
    <row r="972" ht="12.75" customHeight="1">
      <c r="D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</row>
    <row r="973" ht="12.75" customHeight="1">
      <c r="D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</row>
    <row r="974" ht="12.75" customHeight="1">
      <c r="D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</row>
    <row r="975" ht="12.75" customHeight="1">
      <c r="D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</row>
    <row r="976" ht="12.75" customHeight="1">
      <c r="D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</row>
    <row r="977" ht="12.75" customHeight="1">
      <c r="D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</row>
    <row r="978" ht="12.75" customHeight="1">
      <c r="D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</row>
    <row r="979" ht="12.75" customHeight="1">
      <c r="D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</row>
    <row r="980" ht="12.75" customHeight="1">
      <c r="D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</row>
    <row r="981" ht="12.75" customHeight="1">
      <c r="D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</row>
    <row r="982" ht="12.75" customHeight="1">
      <c r="D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</row>
    <row r="983" ht="12.75" customHeight="1">
      <c r="D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</row>
    <row r="984" ht="12.75" customHeight="1">
      <c r="D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</row>
    <row r="985" ht="12.75" customHeight="1">
      <c r="D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</row>
    <row r="986" ht="12.75" customHeight="1">
      <c r="D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</row>
    <row r="987" ht="12.75" customHeight="1">
      <c r="D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</row>
    <row r="988" ht="12.75" customHeight="1">
      <c r="D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</row>
    <row r="989" ht="12.75" customHeight="1">
      <c r="D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</row>
    <row r="990" ht="12.75" customHeight="1">
      <c r="D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</row>
    <row r="991" ht="12.75" customHeight="1">
      <c r="D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</row>
    <row r="992" ht="12.75" customHeight="1">
      <c r="D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</row>
    <row r="993" ht="12.75" customHeight="1">
      <c r="D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</row>
    <row r="994" ht="12.75" customHeight="1">
      <c r="D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</row>
    <row r="995" ht="12.75" customHeight="1">
      <c r="D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</row>
    <row r="996" ht="12.75" customHeight="1">
      <c r="D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</row>
    <row r="997" ht="12.75" customHeight="1">
      <c r="D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</row>
    <row r="998" ht="12.75" customHeight="1">
      <c r="D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</row>
    <row r="999" ht="12.75" customHeight="1">
      <c r="D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</row>
    <row r="1000" ht="12.75" customHeight="1">
      <c r="D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</row>
  </sheetData>
  <mergeCells count="3">
    <mergeCell ref="D3:H3"/>
    <mergeCell ref="D4:H4"/>
    <mergeCell ref="D5:H5"/>
  </mergeCells>
  <conditionalFormatting sqref="E22:E30 L22:AF65 C26:D30 F26:I30 J26:K65">
    <cfRule type="expression" dxfId="0" priority="1" stopIfTrue="1">
      <formula>$F18="Done"</formula>
    </cfRule>
  </conditionalFormatting>
  <conditionalFormatting sqref="E22:E30 L22:AF65 C26:D30 F26:I30 J26:K65">
    <cfRule type="expression" dxfId="1" priority="2" stopIfTrue="1">
      <formula>$F18="Ongoing"</formula>
    </cfRule>
  </conditionalFormatting>
  <conditionalFormatting sqref="B22:I30 J22:AF65">
    <cfRule type="expression" dxfId="0" priority="3" stopIfTrue="1">
      <formula>$F22="Terminado"</formula>
    </cfRule>
  </conditionalFormatting>
  <conditionalFormatting sqref="B22:I30 J22:AF65">
    <cfRule type="expression" dxfId="1" priority="4" stopIfTrue="1">
      <formula>$F22="En Progreso"</formula>
    </cfRule>
  </conditionalFormatting>
  <dataValidations>
    <dataValidation type="list" allowBlank="1" sqref="F10:F15 F22:F30">
      <formula1>"Por Hacer,En Progreso,Terminado"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25"/>
    <col customWidth="1" min="2" max="2" width="9.13"/>
    <col customWidth="1" min="3" max="3" width="38.38"/>
    <col customWidth="1" min="4" max="4" width="10.75"/>
    <col customWidth="1" min="5" max="5" width="13.75"/>
    <col customWidth="1" min="6" max="6" width="10.88"/>
    <col customWidth="1" min="7" max="7" width="9.63"/>
    <col customWidth="1" min="8" max="32" width="4.38"/>
    <col customWidth="1" min="33" max="33" width="9.13"/>
  </cols>
  <sheetData>
    <row r="1" ht="12.75" customHeight="1">
      <c r="D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ht="10.5" customHeight="1">
      <c r="B2" s="2"/>
      <c r="C2" s="3"/>
      <c r="D2" s="4"/>
      <c r="E2" s="5"/>
      <c r="F2" s="5"/>
      <c r="G2" s="5"/>
      <c r="H2" s="5"/>
      <c r="I2" s="4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4"/>
      <c r="W2" s="5"/>
      <c r="X2" s="5"/>
      <c r="Y2" s="5"/>
      <c r="Z2" s="5"/>
      <c r="AA2" s="5"/>
      <c r="AB2" s="5"/>
      <c r="AC2" s="5"/>
      <c r="AD2" s="5"/>
      <c r="AE2" s="5"/>
      <c r="AF2" s="6"/>
    </row>
    <row r="3" ht="15.0" customHeight="1">
      <c r="B3" s="7"/>
      <c r="C3" s="8" t="s">
        <v>0</v>
      </c>
      <c r="D3" s="9" t="s">
        <v>1</v>
      </c>
      <c r="E3" s="10"/>
      <c r="F3" s="10"/>
      <c r="G3" s="10"/>
      <c r="H3" s="11"/>
      <c r="I3" s="12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2"/>
      <c r="W3" s="13"/>
      <c r="X3" s="13"/>
      <c r="Y3" s="13"/>
      <c r="Z3" s="13"/>
      <c r="AA3" s="13"/>
      <c r="AB3" s="13"/>
      <c r="AC3" s="13"/>
      <c r="AD3" s="13"/>
      <c r="AE3" s="13"/>
      <c r="AF3" s="14"/>
    </row>
    <row r="4" ht="15.0" customHeight="1">
      <c r="B4" s="7"/>
      <c r="C4" s="8" t="s">
        <v>2</v>
      </c>
      <c r="D4" s="15"/>
      <c r="E4" s="10"/>
      <c r="F4" s="10"/>
      <c r="G4" s="10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2"/>
      <c r="W4" s="13"/>
      <c r="X4" s="13"/>
      <c r="Y4" s="13"/>
      <c r="Z4" s="13"/>
      <c r="AA4" s="13"/>
      <c r="AB4" s="13"/>
      <c r="AC4" s="13"/>
      <c r="AD4" s="13"/>
      <c r="AE4" s="13"/>
      <c r="AF4" s="14"/>
    </row>
    <row r="5" ht="15.0" customHeight="1">
      <c r="B5" s="7"/>
      <c r="C5" s="8" t="s">
        <v>3</v>
      </c>
      <c r="D5" s="15"/>
      <c r="E5" s="10"/>
      <c r="F5" s="10"/>
      <c r="G5" s="10"/>
      <c r="H5" s="11"/>
      <c r="I5" s="12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2"/>
      <c r="W5" s="13"/>
      <c r="X5" s="13"/>
      <c r="Y5" s="13"/>
      <c r="Z5" s="13"/>
      <c r="AA5" s="13"/>
      <c r="AB5" s="13"/>
      <c r="AC5" s="13"/>
      <c r="AD5" s="13"/>
      <c r="AE5" s="13"/>
      <c r="AF5" s="14"/>
    </row>
    <row r="6" ht="15.0" customHeight="1">
      <c r="B6" s="16"/>
      <c r="C6" s="17"/>
      <c r="D6" s="18"/>
      <c r="E6" s="18"/>
      <c r="F6" s="18"/>
      <c r="G6" s="18"/>
      <c r="H6" s="18"/>
      <c r="I6" s="19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19"/>
      <c r="W6" s="20"/>
      <c r="X6" s="20"/>
      <c r="Y6" s="20"/>
      <c r="Z6" s="20"/>
      <c r="AA6" s="20"/>
      <c r="AB6" s="20"/>
      <c r="AC6" s="20"/>
      <c r="AD6" s="20"/>
      <c r="AE6" s="20"/>
      <c r="AF6" s="21"/>
    </row>
    <row r="7" ht="12.75" customHeight="1">
      <c r="D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ht="12.75" customHeight="1">
      <c r="C8" s="22">
        <v>2.0</v>
      </c>
      <c r="D8" s="23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</row>
    <row r="9" ht="12.75" customHeight="1">
      <c r="D9" s="1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</row>
    <row r="10" ht="12.75" customHeight="1">
      <c r="D10" s="1"/>
      <c r="F10" s="25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ht="12.75" customHeight="1">
      <c r="D11" s="1"/>
      <c r="F11" s="25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ht="12.75" customHeight="1">
      <c r="D12" s="1"/>
      <c r="F12" s="25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ht="12.75" customHeight="1">
      <c r="D13" s="1"/>
      <c r="F13" s="25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ht="12.75" customHeight="1">
      <c r="D14" s="1"/>
      <c r="F14" s="25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ht="12.75" customHeight="1">
      <c r="D15" s="1"/>
      <c r="F15" s="25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ht="12.75" customHeight="1">
      <c r="B16" s="26"/>
      <c r="C16" s="26" t="s">
        <v>4</v>
      </c>
      <c r="D16" s="27">
        <v>15.0</v>
      </c>
      <c r="E16" s="26"/>
      <c r="F16" s="28"/>
      <c r="G16" s="26" t="s">
        <v>5</v>
      </c>
      <c r="H16" s="26" t="s">
        <v>6</v>
      </c>
      <c r="I16" s="26"/>
      <c r="J16" s="26"/>
      <c r="K16" s="26"/>
      <c r="L16" s="26"/>
      <c r="M16" s="26"/>
      <c r="N16" s="26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</row>
    <row r="17" ht="12.75" customHeight="1">
      <c r="B17" s="26"/>
      <c r="C17" s="26" t="s">
        <v>7</v>
      </c>
      <c r="D17" s="27">
        <v>15.0</v>
      </c>
      <c r="E17" s="26" t="s">
        <v>8</v>
      </c>
      <c r="F17" s="26" t="s">
        <v>9</v>
      </c>
      <c r="G17" s="29">
        <f>SUM(OFFSET(G21,1,0,'Sprint 2'!TaskRows,1))</f>
        <v>148</v>
      </c>
      <c r="H17" s="29">
        <f>IF(AND(SUM(OFFSET(H21,1,0,'Sprint 2'!TaskRows,1))=0),0,SUM(OFFSET(H21,1,0,'Sprint 2'!TaskRows,1)))</f>
        <v>148</v>
      </c>
      <c r="I17" s="29">
        <f>IF(AND(SUM(OFFSET(I21,1,0,'Sprint 2'!TaskRows,1))=0),"",SUM(OFFSET(I21,1,0,'Sprint 2'!TaskRows,1)))</f>
        <v>144</v>
      </c>
      <c r="J17" s="29">
        <f>IF(AND(SUM(OFFSET(J21,1,0,'Sprint 2'!TaskRows,1))=0),"",SUM(OFFSET(J21,1,0,'Sprint 2'!TaskRows,1)))</f>
        <v>142</v>
      </c>
      <c r="K17" s="29">
        <f>IF(AND(SUM(OFFSET(K21,1,0,'Sprint 2'!TaskRows,1))=0),"",SUM(OFFSET(K21,1,0,'Sprint 2'!TaskRows,1)))</f>
        <v>146</v>
      </c>
      <c r="L17" s="29">
        <f>IF(AND(SUM(OFFSET(L21,1,0,'Sprint 2'!TaskRows,1))=0),"",SUM(OFFSET(L21,1,0,'Sprint 2'!TaskRows,1)))</f>
        <v>137</v>
      </c>
      <c r="M17" s="29">
        <f>IF(AND(SUM(OFFSET(M21,1,0,'Sprint 2'!TaskRows,1))=0),"",SUM(OFFSET(M21,1,0,'Sprint 2'!TaskRows,1)))</f>
        <v>137</v>
      </c>
      <c r="N17" s="29">
        <f>IF(AND(SUM(OFFSET(N21,1,0,'Sprint 2'!TaskRows,1))=0),"",SUM(OFFSET(N21,1,0,'Sprint 2'!TaskRows,1)))</f>
        <v>128</v>
      </c>
      <c r="O17" s="29">
        <f>IF(AND(SUM(OFFSET(O21,1,0,'Sprint 2'!TaskRows,1))=0),"",SUM(OFFSET(O21,1,0,'Sprint 2'!TaskRows,1)))</f>
        <v>133</v>
      </c>
      <c r="P17" s="29">
        <f>IF(AND(SUM(OFFSET(P21,1,0,'Sprint 2'!TaskRows,1))=0),"",SUM(OFFSET(P21,1,0,'Sprint 2'!TaskRows,1)))</f>
        <v>129</v>
      </c>
      <c r="Q17" s="29">
        <f>IF(AND(SUM(OFFSET(Q21,1,0,'Sprint 2'!TaskRows,1))=0),"",SUM(OFFSET(Q21,1,0,'Sprint 2'!TaskRows,1)))</f>
        <v>79</v>
      </c>
      <c r="R17" s="29">
        <f>IF(AND(SUM(OFFSET(R21,1,0,'Sprint 2'!TaskRows,1))=0),"",SUM(OFFSET(R21,1,0,'Sprint 2'!TaskRows,1)))</f>
        <v>79</v>
      </c>
      <c r="S17" s="29">
        <f>IF(AND(SUM(OFFSET(S21,1,0,'Sprint 2'!TaskRows,1))=0),"",SUM(OFFSET(S21,1,0,'Sprint 2'!TaskRows,1)))</f>
        <v>78</v>
      </c>
      <c r="T17" s="29">
        <f>IF(AND(SUM(OFFSET(T21,1,0,'Sprint 2'!TaskRows,1))=0),"",SUM(OFFSET(T21,1,0,'Sprint 2'!TaskRows,1)))</f>
        <v>76</v>
      </c>
      <c r="U17" s="29">
        <f>IF(AND(SUM(OFFSET(U21,1,0,'Sprint 2'!TaskRows,1))=0),"",SUM(OFFSET(U21,1,0,'Sprint 2'!TaskRows,1)))</f>
        <v>76</v>
      </c>
      <c r="V17" s="29">
        <f>IF(AND(SUM(OFFSET(V21,1,0,'Sprint 2'!TaskRows,1))=0),"",SUM(OFFSET(V21,1,0,'Sprint 2'!TaskRows,1)))</f>
        <v>76</v>
      </c>
      <c r="W17" s="29" t="str">
        <f>IF(AND(SUM(OFFSET(W21,1,0,'Sprint 2'!TaskRows,1))=0),"",SUM(OFFSET(W21,1,0,'Sprint 2'!TaskRows,1)))</f>
        <v/>
      </c>
      <c r="X17" s="29" t="str">
        <f>IF(AND(SUM(OFFSET(X21,1,0,'Sprint 2'!TaskRows,1))=0),"",SUM(OFFSET(X21,1,0,'Sprint 2'!TaskRows,1)))</f>
        <v/>
      </c>
      <c r="Y17" s="29" t="str">
        <f>IF(AND(SUM(OFFSET(Y21,1,0,'Sprint 2'!TaskRows,1))=0),"",SUM(OFFSET(Y21,1,0,'Sprint 2'!TaskRows,1)))</f>
        <v/>
      </c>
      <c r="Z17" s="29" t="str">
        <f>IF(AND(SUM(OFFSET(Z21,1,0,'Sprint 2'!TaskRows,1))=0),"",SUM(OFFSET(Z21,1,0,'Sprint 2'!TaskRows,1)))</f>
        <v/>
      </c>
      <c r="AA17" s="29" t="str">
        <f>IF(AND(SUM(OFFSET(AA21,1,0,'Sprint 2'!TaskRows,1))=0),"",SUM(OFFSET(AA21,1,0,'Sprint 2'!TaskRows,1)))</f>
        <v/>
      </c>
      <c r="AB17" s="29" t="str">
        <f>IF(AND(SUM(OFFSET(AB21,1,0,'Sprint 2'!TaskRows,1))=0),"",SUM(OFFSET(AB21,1,0,'Sprint 2'!TaskRows,1)))</f>
        <v/>
      </c>
      <c r="AC17" s="29" t="str">
        <f>IF(AND(SUM(OFFSET(AC21,1,0,'Sprint 2'!TaskRows,1))=0),"",SUM(OFFSET(AC21,1,0,'Sprint 2'!TaskRows,1)))</f>
        <v/>
      </c>
      <c r="AD17" s="29" t="str">
        <f>IF(AND(SUM(OFFSET(AD21,1,0,'Sprint 2'!TaskRows,1))=0),"",SUM(OFFSET(AD21,1,0,'Sprint 2'!TaskRows,1)))</f>
        <v/>
      </c>
      <c r="AE17" s="29" t="str">
        <f>IF(AND(SUM(OFFSET(AE21,1,0,'Sprint 2'!TaskRows,1))=0),"",SUM(OFFSET(AE21,1,0,'Sprint 2'!TaskRows,1)))</f>
        <v/>
      </c>
      <c r="AF17" s="29" t="str">
        <f>IF(AND(SUM(OFFSET(AF21,1,0,'Sprint 2'!TaskRows,1))=0),"",SUM(OFFSET(AF21,1,0,'Sprint 2'!TaskRows,1)))</f>
        <v/>
      </c>
    </row>
    <row r="18" ht="12.75" hidden="1" customHeight="1">
      <c r="C18" s="25" t="s">
        <v>10</v>
      </c>
      <c r="D18" s="1">
        <f>IF(COUNTA(C22:C249)=0,1,COUNTA(C22:C249))</f>
        <v>15</v>
      </c>
      <c r="E18" s="25" t="s">
        <v>11</v>
      </c>
      <c r="F18" s="1">
        <f>IF(COUNTIF(H17:AF17,"&gt;0")=0,1,COUNTIF(H17:AF17,"&gt;0"))</f>
        <v>15</v>
      </c>
      <c r="G18" s="1"/>
      <c r="H18" s="1">
        <f>IF(H21="","",$G17-$G17/($D16-1)*(H21-1))</f>
        <v>148</v>
      </c>
      <c r="I18" s="1">
        <f>IF(I21="","",'Sprint 2'!TotalEffort-'Sprint 2'!TotalEffort/('Sprint 2'!ImplementationDays)*(I21-1))</f>
        <v>138.1333333</v>
      </c>
      <c r="J18" s="1">
        <f>IF(J21="","",'Sprint 2'!TotalEffort-'Sprint 2'!TotalEffort/('Sprint 2'!ImplementationDays)*(J21-1))</f>
        <v>128.2666667</v>
      </c>
      <c r="K18" s="1">
        <f>IF(K21="","",'Sprint 2'!TotalEffort-'Sprint 2'!TotalEffort/('Sprint 2'!ImplementationDays)*(K21-1))</f>
        <v>118.4</v>
      </c>
      <c r="L18" s="1">
        <f>IF(L21="","",'Sprint 2'!TotalEffort-'Sprint 2'!TotalEffort/('Sprint 2'!ImplementationDays)*(L21-1))</f>
        <v>108.5333333</v>
      </c>
      <c r="M18" s="1">
        <f>IF(M21="","",'Sprint 2'!TotalEffort-'Sprint 2'!TotalEffort/('Sprint 2'!ImplementationDays)*(M21-1))</f>
        <v>98.66666667</v>
      </c>
      <c r="N18" s="1">
        <f>IF(N21="","",'Sprint 2'!TotalEffort-'Sprint 2'!TotalEffort/('Sprint 2'!ImplementationDays)*(N21-1))</f>
        <v>88.8</v>
      </c>
      <c r="O18" s="1">
        <f>IF(O21="","",'Sprint 2'!TotalEffort-'Sprint 2'!TotalEffort/('Sprint 2'!ImplementationDays)*(O21-1))</f>
        <v>78.93333333</v>
      </c>
      <c r="P18" s="1">
        <f>IF(P21="","",'Sprint 2'!TotalEffort-'Sprint 2'!TotalEffort/('Sprint 2'!ImplementationDays)*(P21-1))</f>
        <v>69.06666667</v>
      </c>
      <c r="Q18" s="1">
        <f>IF(Q21="","",'Sprint 2'!TotalEffort-'Sprint 2'!TotalEffort/('Sprint 2'!ImplementationDays)*(Q21-1))</f>
        <v>59.2</v>
      </c>
      <c r="R18" s="1">
        <f>IF(R21="","",'Sprint 2'!TotalEffort-'Sprint 2'!TotalEffort/('Sprint 2'!ImplementationDays)*(R21-1))</f>
        <v>49.33333333</v>
      </c>
      <c r="S18" s="1">
        <f>IF(S21="","",'Sprint 2'!TotalEffort-'Sprint 2'!TotalEffort/('Sprint 2'!ImplementationDays)*(S21-1))</f>
        <v>39.46666667</v>
      </c>
      <c r="T18" s="1">
        <f>IF(T21="","",'Sprint 2'!TotalEffort-'Sprint 2'!TotalEffort/('Sprint 2'!ImplementationDays)*(T21-1))</f>
        <v>29.6</v>
      </c>
      <c r="U18" s="1">
        <f>IF(U21="","",'Sprint 2'!TotalEffort-'Sprint 2'!TotalEffort/('Sprint 2'!ImplementationDays)*(U21-1))</f>
        <v>19.73333333</v>
      </c>
      <c r="V18" s="1">
        <f>IF(V21="","",'Sprint 2'!TotalEffort-'Sprint 2'!TotalEffort/('Sprint 2'!ImplementationDays)*(V21-1))</f>
        <v>9.866666667</v>
      </c>
      <c r="W18" s="1" t="str">
        <f>IF(W21="","",'Sprint 2'!TotalEffort-'Sprint 2'!TotalEffort/('Sprint 2'!ImplementationDays)*(W21-1))</f>
        <v/>
      </c>
      <c r="X18" s="1" t="str">
        <f>IF(X21="","",'Sprint 2'!TotalEffort-'Sprint 2'!TotalEffort/('Sprint 2'!ImplementationDays)*(X21-1))</f>
        <v/>
      </c>
      <c r="Y18" s="1" t="str">
        <f>IF(Y21="","",'Sprint 2'!TotalEffort-'Sprint 2'!TotalEffort/('Sprint 2'!ImplementationDays)*(Y21-1))</f>
        <v/>
      </c>
      <c r="Z18" s="1" t="str">
        <f>IF(Z21="","",'Sprint 2'!TotalEffort-'Sprint 2'!TotalEffort/('Sprint 2'!ImplementationDays)*(Z21-1))</f>
        <v/>
      </c>
      <c r="AA18" s="1" t="str">
        <f>IF(AA21="","",'Sprint 2'!TotalEffort-'Sprint 2'!TotalEffort/('Sprint 2'!ImplementationDays)*(AA21-1))</f>
        <v/>
      </c>
      <c r="AB18" s="1" t="str">
        <f>IF(AB21="","",'Sprint 2'!TotalEffort-'Sprint 2'!TotalEffort/('Sprint 2'!ImplementationDays)*(AB21-1))</f>
        <v/>
      </c>
      <c r="AC18" s="1" t="str">
        <f>IF(AC21="","",'Sprint 2'!TotalEffort-'Sprint 2'!TotalEffort/('Sprint 2'!ImplementationDays)*(AC21-1))</f>
        <v/>
      </c>
      <c r="AD18" s="1" t="str">
        <f>IF(AD21="","",'Sprint 2'!TotalEffort-'Sprint 2'!TotalEffort/('Sprint 2'!ImplementationDays)*(AD21-1))</f>
        <v/>
      </c>
      <c r="AE18" s="1" t="str">
        <f>IF(AE21="","",'Sprint 2'!TotalEffort-'Sprint 2'!TotalEffort/('Sprint 2'!ImplementationDays)*(AE21-1))</f>
        <v/>
      </c>
      <c r="AF18" s="1" t="str">
        <f>IF(AF21="","",'Sprint 2'!TotalEffort-'Sprint 2'!TotalEffort/('Sprint 2'!ImplementationDays)*(AF21-1))</f>
        <v/>
      </c>
    </row>
    <row r="19" ht="12.75" hidden="1" customHeight="1">
      <c r="C19" s="30" t="s">
        <v>12</v>
      </c>
      <c r="E19" s="25" t="s">
        <v>13</v>
      </c>
      <c r="F19" s="1"/>
      <c r="G19" s="1"/>
      <c r="H19" s="1">
        <f t="array" ref="H19">IF(TREND(OFFSET($H17,0,'Sprint 2'!DoneDays-'Sprint 2'!TrendDays,1,'Sprint 2'!TrendDays),OFFSET($H20,0,'Sprint 2'!DoneDays-'Sprint 2'!TrendDays,1,'Sprint 2'!TrendDays),H20)&lt;0,"",TREND(OFFSET($H17,0,'Sprint 2'!DoneDays-'Sprint 2'!TrendDays,1,'Sprint 2'!TrendDays),OFFSET($H20,0,'Sprint 2'!DoneDays-'Sprint 2'!TrendDays,1,'Sprint 2'!TrendDays),H20))</f>
        <v>158.9416667</v>
      </c>
      <c r="I19" s="1">
        <f t="array" ref="I19">IF(TREND(OFFSET($H17,0,'Sprint 2'!DoneDays-'Sprint 2'!TrendDays,1,'Sprint 2'!TrendDays),OFFSET($H20,0,'Sprint 2'!DoneDays-'Sprint 2'!TrendDays,1,'Sprint 2'!TrendDays),I20)&lt;0,"",TREND(OFFSET($H17,0,'Sprint 2'!DoneDays-'Sprint 2'!TrendDays,1,'Sprint 2'!TrendDays),OFFSET($H20,0,'Sprint 2'!DoneDays-'Sprint 2'!TrendDays,1,'Sprint 2'!TrendDays),I20))</f>
        <v>152.502381</v>
      </c>
      <c r="J19" s="1">
        <f t="array" ref="J19">IF(TREND(OFFSET($H17,0,'Sprint 2'!DoneDays-'Sprint 2'!TrendDays,1,'Sprint 2'!TrendDays),OFFSET($H20,0,'Sprint 2'!DoneDays-'Sprint 2'!TrendDays,1,'Sprint 2'!TrendDays),J20)&lt;0,"",TREND(OFFSET($H17,0,'Sprint 2'!DoneDays-'Sprint 2'!TrendDays,1,'Sprint 2'!TrendDays),OFFSET($H20,0,'Sprint 2'!DoneDays-'Sprint 2'!TrendDays,1,'Sprint 2'!TrendDays),J20))</f>
        <v>146.0630952</v>
      </c>
      <c r="K19" s="1">
        <f t="array" ref="K19">IF(TREND(OFFSET($H17,0,'Sprint 2'!DoneDays-'Sprint 2'!TrendDays,1,'Sprint 2'!TrendDays),OFFSET($H20,0,'Sprint 2'!DoneDays-'Sprint 2'!TrendDays,1,'Sprint 2'!TrendDays),K20)&lt;0,"",TREND(OFFSET($H17,0,'Sprint 2'!DoneDays-'Sprint 2'!TrendDays,1,'Sprint 2'!TrendDays),OFFSET($H20,0,'Sprint 2'!DoneDays-'Sprint 2'!TrendDays,1,'Sprint 2'!TrendDays),K20))</f>
        <v>139.6238095</v>
      </c>
      <c r="L19" s="1">
        <f t="array" ref="L19">IF(TREND(OFFSET($H17,0,'Sprint 2'!DoneDays-'Sprint 2'!TrendDays,1,'Sprint 2'!TrendDays),OFFSET($H20,0,'Sprint 2'!DoneDays-'Sprint 2'!TrendDays,1,'Sprint 2'!TrendDays),L20)&lt;0,"",TREND(OFFSET($H17,0,'Sprint 2'!DoneDays-'Sprint 2'!TrendDays,1,'Sprint 2'!TrendDays),OFFSET($H20,0,'Sprint 2'!DoneDays-'Sprint 2'!TrendDays,1,'Sprint 2'!TrendDays),L20))</f>
        <v>133.1845238</v>
      </c>
      <c r="M19" s="1">
        <f t="array" ref="M19">IF(TREND(OFFSET($H17,0,'Sprint 2'!DoneDays-'Sprint 2'!TrendDays,1,'Sprint 2'!TrendDays),OFFSET($H20,0,'Sprint 2'!DoneDays-'Sprint 2'!TrendDays,1,'Sprint 2'!TrendDays),M20)&lt;0,"",TREND(OFFSET($H17,0,'Sprint 2'!DoneDays-'Sprint 2'!TrendDays,1,'Sprint 2'!TrendDays),OFFSET($H20,0,'Sprint 2'!DoneDays-'Sprint 2'!TrendDays,1,'Sprint 2'!TrendDays),M20))</f>
        <v>126.7452381</v>
      </c>
      <c r="N19" s="1">
        <f t="array" ref="N19">IF(TREND(OFFSET($H17,0,'Sprint 2'!DoneDays-'Sprint 2'!TrendDays,1,'Sprint 2'!TrendDays),OFFSET($H20,0,'Sprint 2'!DoneDays-'Sprint 2'!TrendDays,1,'Sprint 2'!TrendDays),N20)&lt;0,"",TREND(OFFSET($H17,0,'Sprint 2'!DoneDays-'Sprint 2'!TrendDays,1,'Sprint 2'!TrendDays),OFFSET($H20,0,'Sprint 2'!DoneDays-'Sprint 2'!TrendDays,1,'Sprint 2'!TrendDays),N20))</f>
        <v>120.3059524</v>
      </c>
      <c r="O19" s="1">
        <f t="array" ref="O19">IF(TREND(OFFSET($H17,0,'Sprint 2'!DoneDays-'Sprint 2'!TrendDays,1,'Sprint 2'!TrendDays),OFFSET($H20,0,'Sprint 2'!DoneDays-'Sprint 2'!TrendDays,1,'Sprint 2'!TrendDays),O20)&lt;0,"",TREND(OFFSET($H17,0,'Sprint 2'!DoneDays-'Sprint 2'!TrendDays,1,'Sprint 2'!TrendDays),OFFSET($H20,0,'Sprint 2'!DoneDays-'Sprint 2'!TrendDays,1,'Sprint 2'!TrendDays),O20))</f>
        <v>113.8666667</v>
      </c>
      <c r="P19" s="1">
        <f t="array" ref="P19">IF(TREND(OFFSET($H17,0,'Sprint 2'!DoneDays-'Sprint 2'!TrendDays,1,'Sprint 2'!TrendDays),OFFSET($H20,0,'Sprint 2'!DoneDays-'Sprint 2'!TrendDays,1,'Sprint 2'!TrendDays),P20)&lt;0,"",TREND(OFFSET($H17,0,'Sprint 2'!DoneDays-'Sprint 2'!TrendDays,1,'Sprint 2'!TrendDays),OFFSET($H20,0,'Sprint 2'!DoneDays-'Sprint 2'!TrendDays,1,'Sprint 2'!TrendDays),P20))</f>
        <v>107.427381</v>
      </c>
      <c r="Q19" s="1">
        <f t="array" ref="Q19">IF(TREND(OFFSET($H17,0,'Sprint 2'!DoneDays-'Sprint 2'!TrendDays,1,'Sprint 2'!TrendDays),OFFSET($H20,0,'Sprint 2'!DoneDays-'Sprint 2'!TrendDays,1,'Sprint 2'!TrendDays),Q20)&lt;0,"",TREND(OFFSET($H17,0,'Sprint 2'!DoneDays-'Sprint 2'!TrendDays,1,'Sprint 2'!TrendDays),OFFSET($H20,0,'Sprint 2'!DoneDays-'Sprint 2'!TrendDays,1,'Sprint 2'!TrendDays),Q20))</f>
        <v>100.9880952</v>
      </c>
      <c r="R19" s="1">
        <f t="array" ref="R19">IF(TREND(OFFSET($H17,0,'Sprint 2'!DoneDays-'Sprint 2'!TrendDays,1,'Sprint 2'!TrendDays),OFFSET($H20,0,'Sprint 2'!DoneDays-'Sprint 2'!TrendDays,1,'Sprint 2'!TrendDays),R20)&lt;0,"",TREND(OFFSET($H17,0,'Sprint 2'!DoneDays-'Sprint 2'!TrendDays,1,'Sprint 2'!TrendDays),OFFSET($H20,0,'Sprint 2'!DoneDays-'Sprint 2'!TrendDays,1,'Sprint 2'!TrendDays),R20))</f>
        <v>94.54880952</v>
      </c>
      <c r="S19" s="1">
        <f t="array" ref="S19">IF(TREND(OFFSET($H17,0,'Sprint 2'!DoneDays-'Sprint 2'!TrendDays,1,'Sprint 2'!TrendDays),OFFSET($H20,0,'Sprint 2'!DoneDays-'Sprint 2'!TrendDays,1,'Sprint 2'!TrendDays),S20)&lt;0,"",TREND(OFFSET($H17,0,'Sprint 2'!DoneDays-'Sprint 2'!TrendDays,1,'Sprint 2'!TrendDays),OFFSET($H20,0,'Sprint 2'!DoneDays-'Sprint 2'!TrendDays,1,'Sprint 2'!TrendDays),S20))</f>
        <v>88.10952381</v>
      </c>
      <c r="T19" s="1">
        <f t="array" ref="T19">IF(TREND(OFFSET($H17,0,'Sprint 2'!DoneDays-'Sprint 2'!TrendDays,1,'Sprint 2'!TrendDays),OFFSET($H20,0,'Sprint 2'!DoneDays-'Sprint 2'!TrendDays,1,'Sprint 2'!TrendDays),T20)&lt;0,"",TREND(OFFSET($H17,0,'Sprint 2'!DoneDays-'Sprint 2'!TrendDays,1,'Sprint 2'!TrendDays),OFFSET($H20,0,'Sprint 2'!DoneDays-'Sprint 2'!TrendDays,1,'Sprint 2'!TrendDays),T20))</f>
        <v>81.6702381</v>
      </c>
      <c r="U19" s="1">
        <f t="array" ref="U19">IF(TREND(OFFSET($H17,0,'Sprint 2'!DoneDays-'Sprint 2'!TrendDays,1,'Sprint 2'!TrendDays),OFFSET($H20,0,'Sprint 2'!DoneDays-'Sprint 2'!TrendDays,1,'Sprint 2'!TrendDays),U20)&lt;0,"",TREND(OFFSET($H17,0,'Sprint 2'!DoneDays-'Sprint 2'!TrendDays,1,'Sprint 2'!TrendDays),OFFSET($H20,0,'Sprint 2'!DoneDays-'Sprint 2'!TrendDays,1,'Sprint 2'!TrendDays),U20))</f>
        <v>75.23095238</v>
      </c>
      <c r="V19" s="1">
        <f t="array" ref="V19">IF(TREND(OFFSET($H17,0,'Sprint 2'!DoneDays-'Sprint 2'!TrendDays,1,'Sprint 2'!TrendDays),OFFSET($H20,0,'Sprint 2'!DoneDays-'Sprint 2'!TrendDays,1,'Sprint 2'!TrendDays),V20)&lt;0,"",TREND(OFFSET($H17,0,'Sprint 2'!DoneDays-'Sprint 2'!TrendDays,1,'Sprint 2'!TrendDays),OFFSET($H20,0,'Sprint 2'!DoneDays-'Sprint 2'!TrendDays,1,'Sprint 2'!TrendDays),V20))</f>
        <v>68.79166667</v>
      </c>
      <c r="W19" s="1">
        <f t="array" ref="W19">IF(TREND(OFFSET($H17,0,'Sprint 2'!DoneDays-'Sprint 2'!TrendDays,1,'Sprint 2'!TrendDays),OFFSET($H20,0,'Sprint 2'!DoneDays-'Sprint 2'!TrendDays,1,'Sprint 2'!TrendDays),W20)&lt;0,"",TREND(OFFSET($H17,0,'Sprint 2'!DoneDays-'Sprint 2'!TrendDays,1,'Sprint 2'!TrendDays),OFFSET($H20,0,'Sprint 2'!DoneDays-'Sprint 2'!TrendDays,1,'Sprint 2'!TrendDays),W20))</f>
        <v>62.35238095</v>
      </c>
      <c r="X19" s="1">
        <f t="array" ref="X19">IF(TREND(OFFSET($H17,0,'Sprint 2'!DoneDays-'Sprint 2'!TrendDays,1,'Sprint 2'!TrendDays),OFFSET($H20,0,'Sprint 2'!DoneDays-'Sprint 2'!TrendDays,1,'Sprint 2'!TrendDays),X20)&lt;0,"",TREND(OFFSET($H17,0,'Sprint 2'!DoneDays-'Sprint 2'!TrendDays,1,'Sprint 2'!TrendDays),OFFSET($H20,0,'Sprint 2'!DoneDays-'Sprint 2'!TrendDays,1,'Sprint 2'!TrendDays),X20))</f>
        <v>55.91309524</v>
      </c>
      <c r="Y19" s="1">
        <f t="array" ref="Y19">IF(TREND(OFFSET($H17,0,'Sprint 2'!DoneDays-'Sprint 2'!TrendDays,1,'Sprint 2'!TrendDays),OFFSET($H20,0,'Sprint 2'!DoneDays-'Sprint 2'!TrendDays,1,'Sprint 2'!TrendDays),Y20)&lt;0,"",TREND(OFFSET($H17,0,'Sprint 2'!DoneDays-'Sprint 2'!TrendDays,1,'Sprint 2'!TrendDays),OFFSET($H20,0,'Sprint 2'!DoneDays-'Sprint 2'!TrendDays,1,'Sprint 2'!TrendDays),Y20))</f>
        <v>49.47380952</v>
      </c>
      <c r="Z19" s="1">
        <f t="array" ref="Z19">IF(TREND(OFFSET($H17,0,'Sprint 2'!DoneDays-'Sprint 2'!TrendDays,1,'Sprint 2'!TrendDays),OFFSET($H20,0,'Sprint 2'!DoneDays-'Sprint 2'!TrendDays,1,'Sprint 2'!TrendDays),Z20)&lt;0,"",TREND(OFFSET($H17,0,'Sprint 2'!DoneDays-'Sprint 2'!TrendDays,1,'Sprint 2'!TrendDays),OFFSET($H20,0,'Sprint 2'!DoneDays-'Sprint 2'!TrendDays,1,'Sprint 2'!TrendDays),Z20))</f>
        <v>43.03452381</v>
      </c>
      <c r="AA19" s="1">
        <f t="array" ref="AA19">IF(TREND(OFFSET($H17,0,'Sprint 2'!DoneDays-'Sprint 2'!TrendDays,1,'Sprint 2'!TrendDays),OFFSET($H20,0,'Sprint 2'!DoneDays-'Sprint 2'!TrendDays,1,'Sprint 2'!TrendDays),AA20)&lt;0,"",TREND(OFFSET($H17,0,'Sprint 2'!DoneDays-'Sprint 2'!TrendDays,1,'Sprint 2'!TrendDays),OFFSET($H20,0,'Sprint 2'!DoneDays-'Sprint 2'!TrendDays,1,'Sprint 2'!TrendDays),AA20))</f>
        <v>36.5952381</v>
      </c>
      <c r="AB19" s="1">
        <f t="array" ref="AB19">IF(TREND(OFFSET($H17,0,'Sprint 2'!DoneDays-'Sprint 2'!TrendDays,1,'Sprint 2'!TrendDays),OFFSET($H20,0,'Sprint 2'!DoneDays-'Sprint 2'!TrendDays,1,'Sprint 2'!TrendDays),AB20)&lt;0,"",TREND(OFFSET($H17,0,'Sprint 2'!DoneDays-'Sprint 2'!TrendDays,1,'Sprint 2'!TrendDays),OFFSET($H20,0,'Sprint 2'!DoneDays-'Sprint 2'!TrendDays,1,'Sprint 2'!TrendDays),AB20))</f>
        <v>30.15595238</v>
      </c>
      <c r="AC19" s="1">
        <f t="array" ref="AC19">IF(TREND(OFFSET($H17,0,'Sprint 2'!DoneDays-'Sprint 2'!TrendDays,1,'Sprint 2'!TrendDays),OFFSET($H20,0,'Sprint 2'!DoneDays-'Sprint 2'!TrendDays,1,'Sprint 2'!TrendDays),AC20)&lt;0,"",TREND(OFFSET($H17,0,'Sprint 2'!DoneDays-'Sprint 2'!TrendDays,1,'Sprint 2'!TrendDays),OFFSET($H20,0,'Sprint 2'!DoneDays-'Sprint 2'!TrendDays,1,'Sprint 2'!TrendDays),AC20))</f>
        <v>23.71666667</v>
      </c>
      <c r="AD19" s="1">
        <f t="array" ref="AD19">IF(TREND(OFFSET($H17,0,'Sprint 2'!DoneDays-'Sprint 2'!TrendDays,1,'Sprint 2'!TrendDays),OFFSET($H20,0,'Sprint 2'!DoneDays-'Sprint 2'!TrendDays,1,'Sprint 2'!TrendDays),AD20)&lt;0,"",TREND(OFFSET($H17,0,'Sprint 2'!DoneDays-'Sprint 2'!TrendDays,1,'Sprint 2'!TrendDays),OFFSET($H20,0,'Sprint 2'!DoneDays-'Sprint 2'!TrendDays,1,'Sprint 2'!TrendDays),AD20))</f>
        <v>17.27738095</v>
      </c>
      <c r="AE19" s="1">
        <f t="array" ref="AE19">IF(TREND(OFFSET($H17,0,'Sprint 2'!DoneDays-'Sprint 2'!TrendDays,1,'Sprint 2'!TrendDays),OFFSET($H20,0,'Sprint 2'!DoneDays-'Sprint 2'!TrendDays,1,'Sprint 2'!TrendDays),AE20)&lt;0,"",TREND(OFFSET($H17,0,'Sprint 2'!DoneDays-'Sprint 2'!TrendDays,1,'Sprint 2'!TrendDays),OFFSET($H20,0,'Sprint 2'!DoneDays-'Sprint 2'!TrendDays,1,'Sprint 2'!TrendDays),AE20))</f>
        <v>10.83809524</v>
      </c>
      <c r="AF19" s="1">
        <f t="array" ref="AF19">IF(TREND(OFFSET($H17,0,'Sprint 2'!DoneDays-'Sprint 2'!TrendDays,1,'Sprint 2'!TrendDays),OFFSET($H20,0,'Sprint 2'!DoneDays-'Sprint 2'!TrendDays,1,'Sprint 2'!TrendDays),AF20)&lt;0,"",TREND(OFFSET($H17,0,'Sprint 2'!DoneDays-'Sprint 2'!TrendDays,1,'Sprint 2'!TrendDays),OFFSET($H20,0,'Sprint 2'!DoneDays-'Sprint 2'!TrendDays,1,'Sprint 2'!TrendDays),AF20))</f>
        <v>4.398809524</v>
      </c>
    </row>
    <row r="20" ht="12.75" hidden="1" customHeight="1">
      <c r="C20" s="30" t="s">
        <v>14</v>
      </c>
      <c r="E20" s="25" t="s">
        <v>15</v>
      </c>
      <c r="F20" s="1">
        <f>IF('Sprint 2'!DoneDays&gt;D17,D17,'Sprint 2'!DoneDays)</f>
        <v>15</v>
      </c>
      <c r="G20" s="1"/>
      <c r="H20" s="1">
        <f>IF('Sprint 2'!DoneDays&gt;G20,G20+1,"")</f>
        <v>1</v>
      </c>
      <c r="I20" s="1">
        <v>2.0</v>
      </c>
      <c r="J20" s="1">
        <v>3.0</v>
      </c>
      <c r="K20" s="1">
        <v>4.0</v>
      </c>
      <c r="L20" s="1">
        <v>5.0</v>
      </c>
      <c r="M20" s="1">
        <v>6.0</v>
      </c>
      <c r="N20" s="1">
        <v>7.0</v>
      </c>
      <c r="O20" s="1">
        <v>8.0</v>
      </c>
      <c r="P20" s="1">
        <v>9.0</v>
      </c>
      <c r="Q20" s="1">
        <v>10.0</v>
      </c>
      <c r="R20" s="1">
        <v>11.0</v>
      </c>
      <c r="S20" s="1">
        <v>12.0</v>
      </c>
      <c r="T20" s="1">
        <v>13.0</v>
      </c>
      <c r="U20" s="1">
        <v>14.0</v>
      </c>
      <c r="V20" s="1">
        <v>15.0</v>
      </c>
      <c r="W20" s="1">
        <v>16.0</v>
      </c>
      <c r="X20" s="1">
        <v>17.0</v>
      </c>
      <c r="Y20" s="1">
        <v>18.0</v>
      </c>
      <c r="Z20" s="1">
        <v>19.0</v>
      </c>
      <c r="AA20" s="1">
        <v>20.0</v>
      </c>
      <c r="AB20" s="1">
        <v>21.0</v>
      </c>
      <c r="AC20" s="1">
        <v>22.0</v>
      </c>
      <c r="AD20" s="1">
        <v>23.0</v>
      </c>
      <c r="AE20" s="1">
        <v>24.0</v>
      </c>
      <c r="AF20" s="1">
        <v>25.0</v>
      </c>
    </row>
    <row r="21" ht="12.75" customHeight="1">
      <c r="B21" s="26" t="s">
        <v>16</v>
      </c>
      <c r="C21" s="31" t="s">
        <v>17</v>
      </c>
      <c r="D21" s="31" t="s">
        <v>18</v>
      </c>
      <c r="E21" s="31" t="s">
        <v>19</v>
      </c>
      <c r="F21" s="31" t="s">
        <v>20</v>
      </c>
      <c r="G21" s="31" t="s">
        <v>21</v>
      </c>
      <c r="H21" s="31">
        <v>1.0</v>
      </c>
      <c r="I21" s="31">
        <f t="shared" ref="I21:AF21" si="1">IF($D$16&gt;H21,H21+1,"")</f>
        <v>2</v>
      </c>
      <c r="J21" s="31">
        <f t="shared" si="1"/>
        <v>3</v>
      </c>
      <c r="K21" s="31">
        <f t="shared" si="1"/>
        <v>4</v>
      </c>
      <c r="L21" s="31">
        <f t="shared" si="1"/>
        <v>5</v>
      </c>
      <c r="M21" s="31">
        <f t="shared" si="1"/>
        <v>6</v>
      </c>
      <c r="N21" s="31">
        <f t="shared" si="1"/>
        <v>7</v>
      </c>
      <c r="O21" s="31">
        <f t="shared" si="1"/>
        <v>8</v>
      </c>
      <c r="P21" s="31">
        <f t="shared" si="1"/>
        <v>9</v>
      </c>
      <c r="Q21" s="31">
        <f t="shared" si="1"/>
        <v>10</v>
      </c>
      <c r="R21" s="31">
        <f t="shared" si="1"/>
        <v>11</v>
      </c>
      <c r="S21" s="31">
        <f t="shared" si="1"/>
        <v>12</v>
      </c>
      <c r="T21" s="31">
        <f t="shared" si="1"/>
        <v>13</v>
      </c>
      <c r="U21" s="31">
        <f t="shared" si="1"/>
        <v>14</v>
      </c>
      <c r="V21" s="31">
        <f t="shared" si="1"/>
        <v>15</v>
      </c>
      <c r="W21" s="31" t="str">
        <f t="shared" si="1"/>
        <v/>
      </c>
      <c r="X21" s="31" t="str">
        <f t="shared" si="1"/>
        <v/>
      </c>
      <c r="Y21" s="31" t="str">
        <f t="shared" si="1"/>
        <v/>
      </c>
      <c r="Z21" s="31" t="str">
        <f t="shared" si="1"/>
        <v/>
      </c>
      <c r="AA21" s="31" t="str">
        <f t="shared" si="1"/>
        <v/>
      </c>
      <c r="AB21" s="31" t="str">
        <f t="shared" si="1"/>
        <v/>
      </c>
      <c r="AC21" s="31" t="str">
        <f t="shared" si="1"/>
        <v/>
      </c>
      <c r="AD21" s="31" t="str">
        <f t="shared" si="1"/>
        <v/>
      </c>
      <c r="AE21" s="31" t="str">
        <f t="shared" si="1"/>
        <v/>
      </c>
      <c r="AF21" s="31" t="str">
        <f t="shared" si="1"/>
        <v/>
      </c>
    </row>
    <row r="22" ht="12.75" customHeight="1">
      <c r="B22" s="40" t="s">
        <v>48</v>
      </c>
      <c r="C22" s="41" t="s">
        <v>49</v>
      </c>
      <c r="D22" s="34" t="s">
        <v>50</v>
      </c>
      <c r="E22" s="35" t="s">
        <v>25</v>
      </c>
      <c r="F22" s="36" t="s">
        <v>26</v>
      </c>
      <c r="G22" s="37">
        <v>13.0</v>
      </c>
      <c r="H22" s="1">
        <f t="shared" ref="H22:H66" si="3">IF(OR(H$21="",$G22=""),"",G22)</f>
        <v>13</v>
      </c>
      <c r="I22" s="1">
        <v>13.0</v>
      </c>
      <c r="J22" s="1">
        <v>11.0</v>
      </c>
      <c r="K22" s="1">
        <v>9.0</v>
      </c>
      <c r="L22" s="1">
        <v>7.0</v>
      </c>
      <c r="M22" s="1">
        <v>5.0</v>
      </c>
      <c r="N22" s="1">
        <v>3.0</v>
      </c>
      <c r="O22" s="1">
        <v>2.0</v>
      </c>
      <c r="P22" s="1">
        <v>1.0</v>
      </c>
      <c r="Q22" s="1">
        <v>1.0</v>
      </c>
      <c r="R22" s="1">
        <v>1.0</v>
      </c>
      <c r="S22" s="1">
        <v>1.0</v>
      </c>
      <c r="T22" s="1">
        <v>1.0</v>
      </c>
      <c r="U22" s="1">
        <v>1.0</v>
      </c>
      <c r="V22" s="1">
        <v>1.0</v>
      </c>
      <c r="W22" s="1"/>
      <c r="X22" s="1"/>
      <c r="Y22" s="1"/>
      <c r="Z22" s="1"/>
      <c r="AA22" s="1"/>
      <c r="AB22" s="1"/>
      <c r="AC22" s="1"/>
      <c r="AD22" s="1"/>
      <c r="AE22" s="1" t="str">
        <f t="shared" ref="AE22:AF22" si="2">IF(OR(AE$21="",$G22=""),"",AD22)</f>
        <v/>
      </c>
      <c r="AF22" s="1" t="str">
        <f t="shared" si="2"/>
        <v/>
      </c>
    </row>
    <row r="23" ht="12.75" customHeight="1">
      <c r="B23" s="40" t="s">
        <v>51</v>
      </c>
      <c r="C23" s="41" t="s">
        <v>52</v>
      </c>
      <c r="D23" s="34" t="s">
        <v>50</v>
      </c>
      <c r="E23" s="35" t="s">
        <v>25</v>
      </c>
      <c r="F23" s="36" t="s">
        <v>26</v>
      </c>
      <c r="G23" s="37">
        <v>16.0</v>
      </c>
      <c r="H23" s="1">
        <f t="shared" si="3"/>
        <v>16</v>
      </c>
      <c r="I23" s="1">
        <v>15.0</v>
      </c>
      <c r="J23" s="1">
        <v>14.0</v>
      </c>
      <c r="K23" s="1">
        <v>13.0</v>
      </c>
      <c r="L23" s="1">
        <v>11.0</v>
      </c>
      <c r="M23" s="1">
        <v>8.0</v>
      </c>
      <c r="N23" s="1">
        <v>5.0</v>
      </c>
      <c r="O23" s="1">
        <v>3.0</v>
      </c>
      <c r="P23" s="1">
        <v>2.0</v>
      </c>
      <c r="Q23" s="1">
        <v>2.0</v>
      </c>
      <c r="R23" s="1">
        <v>2.0</v>
      </c>
      <c r="S23" s="1">
        <v>2.0</v>
      </c>
      <c r="T23" s="1">
        <v>2.0</v>
      </c>
      <c r="U23" s="1">
        <v>2.0</v>
      </c>
      <c r="V23" s="1">
        <v>2.0</v>
      </c>
      <c r="W23" s="1"/>
      <c r="X23" s="1"/>
      <c r="Y23" s="1"/>
      <c r="Z23" s="1"/>
      <c r="AA23" s="1"/>
      <c r="AB23" s="1"/>
      <c r="AC23" s="1"/>
      <c r="AD23" s="1"/>
      <c r="AE23" s="1" t="str">
        <f t="shared" ref="AE23:AF23" si="4">IF(OR(AE$21="",$G23=""),"",AD23)</f>
        <v/>
      </c>
      <c r="AF23" s="1" t="str">
        <f t="shared" si="4"/>
        <v/>
      </c>
    </row>
    <row r="24" ht="12.75" customHeight="1">
      <c r="B24" s="40" t="s">
        <v>53</v>
      </c>
      <c r="C24" s="41" t="s">
        <v>54</v>
      </c>
      <c r="D24" s="34" t="s">
        <v>50</v>
      </c>
      <c r="E24" s="35" t="s">
        <v>31</v>
      </c>
      <c r="F24" s="36" t="s">
        <v>26</v>
      </c>
      <c r="G24" s="37">
        <v>10.0</v>
      </c>
      <c r="H24" s="1">
        <f t="shared" si="3"/>
        <v>10</v>
      </c>
      <c r="I24" s="1">
        <v>10.0</v>
      </c>
      <c r="J24" s="1">
        <v>9.0</v>
      </c>
      <c r="K24" s="1">
        <v>8.0</v>
      </c>
      <c r="L24" s="1">
        <v>6.0</v>
      </c>
      <c r="M24" s="1">
        <v>4.0</v>
      </c>
      <c r="N24" s="1">
        <v>3.0</v>
      </c>
      <c r="O24" s="1">
        <v>2.0</v>
      </c>
      <c r="P24" s="1">
        <v>1.0</v>
      </c>
      <c r="Q24" s="1">
        <v>1.0</v>
      </c>
      <c r="R24" s="1">
        <v>1.0</v>
      </c>
      <c r="S24" s="1">
        <v>1.0</v>
      </c>
      <c r="T24" s="1">
        <v>1.0</v>
      </c>
      <c r="U24" s="1">
        <v>1.0</v>
      </c>
      <c r="V24" s="1">
        <v>1.0</v>
      </c>
      <c r="W24" s="1"/>
      <c r="X24" s="1"/>
      <c r="Y24" s="1"/>
      <c r="Z24" s="1"/>
      <c r="AA24" s="1"/>
      <c r="AB24" s="1"/>
      <c r="AC24" s="1"/>
      <c r="AD24" s="1"/>
      <c r="AE24" s="1" t="str">
        <f t="shared" ref="AE24:AF24" si="5">IF(OR(AE$21="",$G24=""),"",AD24)</f>
        <v/>
      </c>
      <c r="AF24" s="1" t="str">
        <f t="shared" si="5"/>
        <v/>
      </c>
    </row>
    <row r="25" ht="12.75" customHeight="1">
      <c r="B25" s="40" t="s">
        <v>55</v>
      </c>
      <c r="C25" s="41" t="s">
        <v>56</v>
      </c>
      <c r="D25" s="34" t="s">
        <v>50</v>
      </c>
      <c r="E25" s="35" t="s">
        <v>31</v>
      </c>
      <c r="F25" s="25" t="s">
        <v>26</v>
      </c>
      <c r="G25" s="37">
        <v>16.0</v>
      </c>
      <c r="H25" s="1">
        <f t="shared" si="3"/>
        <v>16</v>
      </c>
      <c r="I25" s="27">
        <v>15.0</v>
      </c>
      <c r="J25" s="1">
        <v>15.0</v>
      </c>
      <c r="K25" s="1">
        <v>13.0</v>
      </c>
      <c r="L25" s="1">
        <v>10.0</v>
      </c>
      <c r="M25" s="1">
        <v>7.0</v>
      </c>
      <c r="N25" s="1">
        <v>4.0</v>
      </c>
      <c r="O25" s="1">
        <v>3.0</v>
      </c>
      <c r="P25" s="1">
        <v>2.0</v>
      </c>
      <c r="Q25" s="1">
        <v>2.0</v>
      </c>
      <c r="R25" s="1">
        <v>2.0</v>
      </c>
      <c r="S25" s="1">
        <v>2.0</v>
      </c>
      <c r="T25" s="1">
        <v>2.0</v>
      </c>
      <c r="U25" s="1">
        <v>2.0</v>
      </c>
      <c r="V25" s="1">
        <v>2.0</v>
      </c>
      <c r="W25" s="1"/>
      <c r="X25" s="1"/>
      <c r="Y25" s="1"/>
      <c r="Z25" s="1"/>
      <c r="AA25" s="1"/>
      <c r="AB25" s="1"/>
      <c r="AC25" s="1"/>
      <c r="AD25" s="1"/>
      <c r="AE25" s="1" t="str">
        <f t="shared" ref="AE25:AF25" si="6">IF(OR(AE$21="",$G25=""),"",AD25)</f>
        <v/>
      </c>
      <c r="AF25" s="1" t="str">
        <f t="shared" si="6"/>
        <v/>
      </c>
    </row>
    <row r="26" ht="12.75" customHeight="1">
      <c r="B26" s="40" t="s">
        <v>57</v>
      </c>
      <c r="C26" s="41" t="s">
        <v>58</v>
      </c>
      <c r="D26" s="34" t="s">
        <v>59</v>
      </c>
      <c r="E26" s="35" t="s">
        <v>36</v>
      </c>
      <c r="F26" s="36" t="s">
        <v>26</v>
      </c>
      <c r="G26" s="37">
        <v>13.0</v>
      </c>
      <c r="H26" s="1">
        <f t="shared" si="3"/>
        <v>13</v>
      </c>
      <c r="I26" s="27">
        <v>11.0</v>
      </c>
      <c r="J26" s="27">
        <v>13.0</v>
      </c>
      <c r="K26" s="27">
        <v>13.0</v>
      </c>
      <c r="L26" s="27">
        <v>13.0</v>
      </c>
      <c r="M26" s="27">
        <v>13.0</v>
      </c>
      <c r="N26" s="27">
        <v>13.0</v>
      </c>
      <c r="O26" s="27">
        <v>13.0</v>
      </c>
      <c r="P26" s="27">
        <v>13.0</v>
      </c>
      <c r="Q26" s="27">
        <v>13.0</v>
      </c>
      <c r="R26" s="27">
        <v>13.0</v>
      </c>
      <c r="S26" s="27">
        <v>12.0</v>
      </c>
      <c r="T26" s="27">
        <v>10.0</v>
      </c>
      <c r="U26" s="27">
        <v>10.0</v>
      </c>
      <c r="V26" s="27">
        <v>10.0</v>
      </c>
      <c r="W26" s="1"/>
      <c r="X26" s="1"/>
      <c r="Y26" s="1"/>
      <c r="Z26" s="1"/>
      <c r="AA26" s="1"/>
      <c r="AB26" s="1"/>
      <c r="AC26" s="1"/>
      <c r="AD26" s="1"/>
      <c r="AE26" s="1" t="str">
        <f t="shared" ref="AE26:AF26" si="7">IF(OR(AE$21="",$G26=""),"",AD26)</f>
        <v/>
      </c>
      <c r="AF26" s="1" t="str">
        <f t="shared" si="7"/>
        <v/>
      </c>
    </row>
    <row r="27" ht="12.75" customHeight="1">
      <c r="B27" s="40" t="s">
        <v>60</v>
      </c>
      <c r="C27" s="41" t="s">
        <v>61</v>
      </c>
      <c r="D27" s="34" t="s">
        <v>59</v>
      </c>
      <c r="E27" s="35" t="s">
        <v>36</v>
      </c>
      <c r="F27" s="36" t="s">
        <v>26</v>
      </c>
      <c r="G27" s="37">
        <v>8.0</v>
      </c>
      <c r="H27" s="1">
        <f t="shared" si="3"/>
        <v>8</v>
      </c>
      <c r="I27" s="27">
        <v>8.0</v>
      </c>
      <c r="J27" s="1">
        <f t="shared" ref="J27:J36" si="9">IF(OR(J$21="",$G27=""),"",I27)</f>
        <v>8</v>
      </c>
      <c r="K27" s="27">
        <v>9.0</v>
      </c>
      <c r="L27" s="1">
        <f t="shared" ref="L27:L36" si="10">IF(OR(L$21="",$G27=""),"",K27)</f>
        <v>9</v>
      </c>
      <c r="M27" s="27">
        <v>10.0</v>
      </c>
      <c r="N27" s="1">
        <f t="shared" ref="N27:N36" si="11">IF(OR(N$21="",$G27=""),"",M27)</f>
        <v>10</v>
      </c>
      <c r="O27" s="27">
        <v>11.0</v>
      </c>
      <c r="P27" s="1">
        <f t="shared" ref="P27:P36" si="12">IF(OR(P$21="",$G27=""),"",O27)</f>
        <v>11</v>
      </c>
      <c r="Q27" s="27">
        <v>6.0</v>
      </c>
      <c r="R27" s="27">
        <v>6.0</v>
      </c>
      <c r="S27" s="27">
        <v>6.0</v>
      </c>
      <c r="T27" s="27">
        <v>6.0</v>
      </c>
      <c r="U27" s="27">
        <v>6.0</v>
      </c>
      <c r="V27" s="27">
        <v>6.0</v>
      </c>
      <c r="W27" s="1"/>
      <c r="X27" s="1"/>
      <c r="Y27" s="1"/>
      <c r="Z27" s="1"/>
      <c r="AA27" s="1"/>
      <c r="AB27" s="1"/>
      <c r="AC27" s="1"/>
      <c r="AD27" s="1"/>
      <c r="AE27" s="1" t="str">
        <f t="shared" ref="AE27:AF27" si="8">IF(OR(AE$21="",$G27=""),"",AD27)</f>
        <v/>
      </c>
      <c r="AF27" s="1" t="str">
        <f t="shared" si="8"/>
        <v/>
      </c>
    </row>
    <row r="28" ht="12.75" customHeight="1">
      <c r="B28" s="42" t="s">
        <v>62</v>
      </c>
      <c r="C28" s="42" t="s">
        <v>63</v>
      </c>
      <c r="D28" s="43" t="s">
        <v>59</v>
      </c>
      <c r="E28" s="43" t="s">
        <v>42</v>
      </c>
      <c r="F28" s="36" t="s">
        <v>26</v>
      </c>
      <c r="G28" s="37">
        <v>8.0</v>
      </c>
      <c r="H28" s="1">
        <f t="shared" si="3"/>
        <v>8</v>
      </c>
      <c r="I28" s="27">
        <v>8.0</v>
      </c>
      <c r="J28" s="1">
        <f t="shared" si="9"/>
        <v>8</v>
      </c>
      <c r="K28" s="27">
        <v>9.0</v>
      </c>
      <c r="L28" s="1">
        <f t="shared" si="10"/>
        <v>9</v>
      </c>
      <c r="M28" s="27">
        <v>10.0</v>
      </c>
      <c r="N28" s="1">
        <f t="shared" si="11"/>
        <v>10</v>
      </c>
      <c r="O28" s="27">
        <v>11.0</v>
      </c>
      <c r="P28" s="1">
        <f t="shared" si="12"/>
        <v>11</v>
      </c>
      <c r="Q28" s="27">
        <v>6.0</v>
      </c>
      <c r="R28" s="27">
        <v>6.0</v>
      </c>
      <c r="S28" s="27">
        <v>6.0</v>
      </c>
      <c r="T28" s="27">
        <v>6.0</v>
      </c>
      <c r="U28" s="27">
        <v>6.0</v>
      </c>
      <c r="V28" s="27">
        <v>6.0</v>
      </c>
      <c r="W28" s="1"/>
      <c r="X28" s="1"/>
      <c r="Y28" s="1"/>
      <c r="Z28" s="1"/>
      <c r="AA28" s="1"/>
      <c r="AB28" s="1"/>
      <c r="AC28" s="1"/>
      <c r="AD28" s="1"/>
      <c r="AE28" s="1" t="str">
        <f t="shared" ref="AE28:AF28" si="13">IF(OR(AE$21="",$G28=""),"",AD28)</f>
        <v/>
      </c>
      <c r="AF28" s="1" t="str">
        <f t="shared" si="13"/>
        <v/>
      </c>
    </row>
    <row r="29" ht="12.75" customHeight="1">
      <c r="B29" s="42" t="s">
        <v>64</v>
      </c>
      <c r="C29" s="42" t="s">
        <v>65</v>
      </c>
      <c r="D29" s="43" t="s">
        <v>59</v>
      </c>
      <c r="E29" s="43" t="s">
        <v>42</v>
      </c>
      <c r="F29" s="36" t="s">
        <v>26</v>
      </c>
      <c r="G29" s="37">
        <v>8.0</v>
      </c>
      <c r="H29" s="1">
        <f t="shared" si="3"/>
        <v>8</v>
      </c>
      <c r="I29" s="27">
        <v>8.0</v>
      </c>
      <c r="J29" s="1">
        <f t="shared" si="9"/>
        <v>8</v>
      </c>
      <c r="K29" s="27">
        <v>9.0</v>
      </c>
      <c r="L29" s="1">
        <f t="shared" si="10"/>
        <v>9</v>
      </c>
      <c r="M29" s="27">
        <v>10.0</v>
      </c>
      <c r="N29" s="1">
        <f t="shared" si="11"/>
        <v>10</v>
      </c>
      <c r="O29" s="27">
        <v>11.0</v>
      </c>
      <c r="P29" s="1">
        <f t="shared" si="12"/>
        <v>11</v>
      </c>
      <c r="Q29" s="27">
        <v>6.0</v>
      </c>
      <c r="R29" s="27">
        <v>6.0</v>
      </c>
      <c r="S29" s="27">
        <v>6.0</v>
      </c>
      <c r="T29" s="27">
        <v>6.0</v>
      </c>
      <c r="U29" s="27">
        <v>6.0</v>
      </c>
      <c r="V29" s="27">
        <v>6.0</v>
      </c>
      <c r="W29" s="1"/>
      <c r="X29" s="1"/>
      <c r="Y29" s="1"/>
      <c r="Z29" s="1"/>
      <c r="AA29" s="1"/>
      <c r="AB29" s="1"/>
      <c r="AC29" s="1"/>
      <c r="AD29" s="1"/>
      <c r="AE29" s="1" t="str">
        <f t="shared" ref="AE29:AF29" si="14">IF(OR(AE$21="",$G29=""),"",AD29)</f>
        <v/>
      </c>
      <c r="AF29" s="1" t="str">
        <f t="shared" si="14"/>
        <v/>
      </c>
    </row>
    <row r="30" ht="12.75" customHeight="1">
      <c r="B30" s="42" t="s">
        <v>66</v>
      </c>
      <c r="C30" s="42" t="s">
        <v>67</v>
      </c>
      <c r="D30" s="43" t="s">
        <v>68</v>
      </c>
      <c r="E30" s="43" t="s">
        <v>47</v>
      </c>
      <c r="F30" s="36" t="s">
        <v>26</v>
      </c>
      <c r="G30" s="37">
        <v>8.0</v>
      </c>
      <c r="H30" s="1">
        <f t="shared" si="3"/>
        <v>8</v>
      </c>
      <c r="I30" s="27">
        <v>8.0</v>
      </c>
      <c r="J30" s="1">
        <f t="shared" si="9"/>
        <v>8</v>
      </c>
      <c r="K30" s="27">
        <v>9.0</v>
      </c>
      <c r="L30" s="1">
        <f t="shared" si="10"/>
        <v>9</v>
      </c>
      <c r="M30" s="27">
        <v>10.0</v>
      </c>
      <c r="N30" s="1">
        <f t="shared" si="11"/>
        <v>10</v>
      </c>
      <c r="O30" s="27">
        <v>11.0</v>
      </c>
      <c r="P30" s="1">
        <f t="shared" si="12"/>
        <v>11</v>
      </c>
      <c r="Q30" s="27">
        <v>6.0</v>
      </c>
      <c r="R30" s="27">
        <v>6.0</v>
      </c>
      <c r="S30" s="27">
        <v>6.0</v>
      </c>
      <c r="T30" s="27">
        <v>6.0</v>
      </c>
      <c r="U30" s="27">
        <v>6.0</v>
      </c>
      <c r="V30" s="27">
        <v>6.0</v>
      </c>
      <c r="W30" s="1"/>
      <c r="X30" s="1"/>
      <c r="Y30" s="1"/>
      <c r="Z30" s="1"/>
      <c r="AA30" s="1"/>
      <c r="AB30" s="1"/>
      <c r="AC30" s="1"/>
      <c r="AD30" s="1"/>
      <c r="AE30" s="1" t="str">
        <f t="shared" ref="AE30:AF30" si="15">IF(OR(AE$21="",$G30=""),"",AD30)</f>
        <v/>
      </c>
      <c r="AF30" s="1" t="str">
        <f t="shared" si="15"/>
        <v/>
      </c>
    </row>
    <row r="31" ht="12.75" customHeight="1">
      <c r="B31" s="42" t="s">
        <v>69</v>
      </c>
      <c r="C31" s="42" t="s">
        <v>70</v>
      </c>
      <c r="D31" s="43" t="s">
        <v>68</v>
      </c>
      <c r="E31" s="42" t="s">
        <v>47</v>
      </c>
      <c r="F31" s="36" t="s">
        <v>26</v>
      </c>
      <c r="G31" s="37">
        <v>8.0</v>
      </c>
      <c r="H31" s="1">
        <f t="shared" si="3"/>
        <v>8</v>
      </c>
      <c r="I31" s="27">
        <v>8.0</v>
      </c>
      <c r="J31" s="1">
        <f t="shared" si="9"/>
        <v>8</v>
      </c>
      <c r="K31" s="27">
        <v>9.0</v>
      </c>
      <c r="L31" s="1">
        <f t="shared" si="10"/>
        <v>9</v>
      </c>
      <c r="M31" s="27">
        <v>10.0</v>
      </c>
      <c r="N31" s="1">
        <f t="shared" si="11"/>
        <v>10</v>
      </c>
      <c r="O31" s="27">
        <v>11.0</v>
      </c>
      <c r="P31" s="1">
        <f t="shared" si="12"/>
        <v>11</v>
      </c>
      <c r="Q31" s="27">
        <v>6.0</v>
      </c>
      <c r="R31" s="27">
        <v>6.0</v>
      </c>
      <c r="S31" s="27">
        <v>6.0</v>
      </c>
      <c r="T31" s="27">
        <v>6.0</v>
      </c>
      <c r="U31" s="27">
        <v>6.0</v>
      </c>
      <c r="V31" s="27">
        <v>6.0</v>
      </c>
      <c r="W31" s="1"/>
      <c r="X31" s="1"/>
      <c r="Y31" s="1"/>
      <c r="Z31" s="1"/>
      <c r="AA31" s="1"/>
      <c r="AB31" s="1"/>
      <c r="AC31" s="1"/>
      <c r="AD31" s="1"/>
      <c r="AE31" s="1" t="str">
        <f t="shared" ref="AE31:AF31" si="16">IF(OR(AE$21="",$G31=""),"",AD31)</f>
        <v/>
      </c>
      <c r="AF31" s="1" t="str">
        <f t="shared" si="16"/>
        <v/>
      </c>
    </row>
    <row r="32" ht="12.75" customHeight="1">
      <c r="B32" s="42" t="s">
        <v>71</v>
      </c>
      <c r="C32" s="42" t="s">
        <v>72</v>
      </c>
      <c r="D32" s="43" t="s">
        <v>68</v>
      </c>
      <c r="E32" s="42" t="s">
        <v>25</v>
      </c>
      <c r="F32" s="36" t="s">
        <v>26</v>
      </c>
      <c r="G32" s="37">
        <v>8.0</v>
      </c>
      <c r="H32" s="1">
        <f t="shared" si="3"/>
        <v>8</v>
      </c>
      <c r="I32" s="27">
        <v>8.0</v>
      </c>
      <c r="J32" s="1">
        <f t="shared" si="9"/>
        <v>8</v>
      </c>
      <c r="K32" s="27">
        <v>9.0</v>
      </c>
      <c r="L32" s="1">
        <f t="shared" si="10"/>
        <v>9</v>
      </c>
      <c r="M32" s="27">
        <v>10.0</v>
      </c>
      <c r="N32" s="1">
        <f t="shared" si="11"/>
        <v>10</v>
      </c>
      <c r="O32" s="27">
        <v>11.0</v>
      </c>
      <c r="P32" s="1">
        <f t="shared" si="12"/>
        <v>11</v>
      </c>
      <c r="Q32" s="27">
        <v>6.0</v>
      </c>
      <c r="R32" s="27">
        <v>6.0</v>
      </c>
      <c r="S32" s="27">
        <v>6.0</v>
      </c>
      <c r="T32" s="27">
        <v>6.0</v>
      </c>
      <c r="U32" s="27">
        <v>6.0</v>
      </c>
      <c r="V32" s="27">
        <v>6.0</v>
      </c>
      <c r="W32" s="1"/>
      <c r="X32" s="1"/>
      <c r="Y32" s="1"/>
      <c r="Z32" s="1"/>
      <c r="AA32" s="1"/>
      <c r="AB32" s="1"/>
      <c r="AC32" s="1"/>
      <c r="AD32" s="1"/>
      <c r="AE32" s="1" t="str">
        <f t="shared" ref="AE32:AF32" si="17">IF(OR(AE$21="",$G32=""),"",AD32)</f>
        <v/>
      </c>
      <c r="AF32" s="1" t="str">
        <f t="shared" si="17"/>
        <v/>
      </c>
    </row>
    <row r="33" ht="12.75" customHeight="1">
      <c r="B33" s="42" t="s">
        <v>73</v>
      </c>
      <c r="C33" s="42" t="s">
        <v>74</v>
      </c>
      <c r="D33" s="43" t="s">
        <v>68</v>
      </c>
      <c r="E33" s="42" t="s">
        <v>31</v>
      </c>
      <c r="F33" s="36" t="s">
        <v>26</v>
      </c>
      <c r="G33" s="37">
        <v>8.0</v>
      </c>
      <c r="H33" s="1">
        <f t="shared" si="3"/>
        <v>8</v>
      </c>
      <c r="I33" s="27">
        <v>8.0</v>
      </c>
      <c r="J33" s="1">
        <f t="shared" si="9"/>
        <v>8</v>
      </c>
      <c r="K33" s="27">
        <v>9.0</v>
      </c>
      <c r="L33" s="1">
        <f t="shared" si="10"/>
        <v>9</v>
      </c>
      <c r="M33" s="27">
        <v>10.0</v>
      </c>
      <c r="N33" s="1">
        <f t="shared" si="11"/>
        <v>10</v>
      </c>
      <c r="O33" s="27">
        <v>11.0</v>
      </c>
      <c r="P33" s="1">
        <f t="shared" si="12"/>
        <v>11</v>
      </c>
      <c r="Q33" s="27">
        <v>6.0</v>
      </c>
      <c r="R33" s="27">
        <v>6.0</v>
      </c>
      <c r="S33" s="27">
        <v>6.0</v>
      </c>
      <c r="T33" s="27">
        <v>6.0</v>
      </c>
      <c r="U33" s="27">
        <v>6.0</v>
      </c>
      <c r="V33" s="27">
        <v>6.0</v>
      </c>
      <c r="W33" s="1"/>
      <c r="X33" s="1"/>
      <c r="Y33" s="1"/>
      <c r="Z33" s="1"/>
      <c r="AA33" s="1"/>
      <c r="AB33" s="1"/>
      <c r="AC33" s="1"/>
      <c r="AD33" s="1"/>
      <c r="AE33" s="1" t="str">
        <f t="shared" ref="AE33:AF33" si="18">IF(OR(AE$21="",$G33=""),"",AD33)</f>
        <v/>
      </c>
      <c r="AF33" s="1" t="str">
        <f t="shared" si="18"/>
        <v/>
      </c>
    </row>
    <row r="34" ht="12.75" customHeight="1">
      <c r="B34" s="42" t="s">
        <v>75</v>
      </c>
      <c r="C34" s="42" t="s">
        <v>76</v>
      </c>
      <c r="D34" s="43" t="s">
        <v>77</v>
      </c>
      <c r="E34" s="42" t="s">
        <v>36</v>
      </c>
      <c r="F34" s="36" t="s">
        <v>26</v>
      </c>
      <c r="G34" s="37">
        <v>8.0</v>
      </c>
      <c r="H34" s="1">
        <f t="shared" si="3"/>
        <v>8</v>
      </c>
      <c r="I34" s="27">
        <v>8.0</v>
      </c>
      <c r="J34" s="1">
        <f t="shared" si="9"/>
        <v>8</v>
      </c>
      <c r="K34" s="27">
        <v>9.0</v>
      </c>
      <c r="L34" s="1">
        <f t="shared" si="10"/>
        <v>9</v>
      </c>
      <c r="M34" s="27">
        <v>10.0</v>
      </c>
      <c r="N34" s="1">
        <f t="shared" si="11"/>
        <v>10</v>
      </c>
      <c r="O34" s="27">
        <v>11.0</v>
      </c>
      <c r="P34" s="1">
        <f t="shared" si="12"/>
        <v>11</v>
      </c>
      <c r="Q34" s="27">
        <v>6.0</v>
      </c>
      <c r="R34" s="27">
        <v>6.0</v>
      </c>
      <c r="S34" s="27">
        <v>6.0</v>
      </c>
      <c r="T34" s="27">
        <v>6.0</v>
      </c>
      <c r="U34" s="27">
        <v>6.0</v>
      </c>
      <c r="V34" s="27">
        <v>6.0</v>
      </c>
      <c r="W34" s="1"/>
      <c r="X34" s="1"/>
      <c r="Y34" s="1"/>
      <c r="Z34" s="1"/>
      <c r="AA34" s="1"/>
      <c r="AB34" s="1"/>
      <c r="AC34" s="1"/>
      <c r="AD34" s="1"/>
      <c r="AE34" s="1" t="str">
        <f t="shared" ref="AE34:AF34" si="19">IF(OR(AE$21="",$G34=""),"",AD34)</f>
        <v/>
      </c>
      <c r="AF34" s="1" t="str">
        <f t="shared" si="19"/>
        <v/>
      </c>
    </row>
    <row r="35" ht="12.75" customHeight="1">
      <c r="B35" s="42" t="s">
        <v>78</v>
      </c>
      <c r="C35" s="42" t="s">
        <v>79</v>
      </c>
      <c r="D35" s="43" t="s">
        <v>77</v>
      </c>
      <c r="E35" s="42" t="s">
        <v>42</v>
      </c>
      <c r="F35" s="36" t="s">
        <v>26</v>
      </c>
      <c r="G35" s="37">
        <v>8.0</v>
      </c>
      <c r="H35" s="1">
        <f t="shared" si="3"/>
        <v>8</v>
      </c>
      <c r="I35" s="27">
        <v>8.0</v>
      </c>
      <c r="J35" s="1">
        <f t="shared" si="9"/>
        <v>8</v>
      </c>
      <c r="K35" s="27">
        <v>9.0</v>
      </c>
      <c r="L35" s="1">
        <f t="shared" si="10"/>
        <v>9</v>
      </c>
      <c r="M35" s="27">
        <v>10.0</v>
      </c>
      <c r="N35" s="1">
        <f t="shared" si="11"/>
        <v>10</v>
      </c>
      <c r="O35" s="27">
        <v>11.0</v>
      </c>
      <c r="P35" s="1">
        <f t="shared" si="12"/>
        <v>11</v>
      </c>
      <c r="Q35" s="27">
        <v>6.0</v>
      </c>
      <c r="R35" s="27">
        <v>6.0</v>
      </c>
      <c r="S35" s="27">
        <v>6.0</v>
      </c>
      <c r="T35" s="27">
        <v>6.0</v>
      </c>
      <c r="U35" s="27">
        <v>6.0</v>
      </c>
      <c r="V35" s="27">
        <v>6.0</v>
      </c>
      <c r="W35" s="1"/>
      <c r="X35" s="1"/>
      <c r="Y35" s="1"/>
      <c r="Z35" s="1"/>
      <c r="AA35" s="1"/>
      <c r="AB35" s="1"/>
      <c r="AC35" s="1"/>
      <c r="AD35" s="1"/>
      <c r="AE35" s="1" t="str">
        <f t="shared" ref="AE35:AF35" si="20">IF(OR(AE$21="",$G35=""),"",AD35)</f>
        <v/>
      </c>
      <c r="AF35" s="1" t="str">
        <f t="shared" si="20"/>
        <v/>
      </c>
    </row>
    <row r="36" ht="12.75" customHeight="1">
      <c r="B36" s="42" t="s">
        <v>80</v>
      </c>
      <c r="C36" s="42" t="s">
        <v>81</v>
      </c>
      <c r="D36" s="43" t="s">
        <v>77</v>
      </c>
      <c r="E36" s="42" t="s">
        <v>47</v>
      </c>
      <c r="F36" s="36" t="s">
        <v>26</v>
      </c>
      <c r="G36" s="37">
        <v>8.0</v>
      </c>
      <c r="H36" s="1">
        <f t="shared" si="3"/>
        <v>8</v>
      </c>
      <c r="I36" s="27">
        <v>8.0</v>
      </c>
      <c r="J36" s="1">
        <f t="shared" si="9"/>
        <v>8</v>
      </c>
      <c r="K36" s="27">
        <v>9.0</v>
      </c>
      <c r="L36" s="1">
        <f t="shared" si="10"/>
        <v>9</v>
      </c>
      <c r="M36" s="27">
        <v>10.0</v>
      </c>
      <c r="N36" s="1">
        <f t="shared" si="11"/>
        <v>10</v>
      </c>
      <c r="O36" s="27">
        <v>11.0</v>
      </c>
      <c r="P36" s="1">
        <f t="shared" si="12"/>
        <v>11</v>
      </c>
      <c r="Q36" s="27">
        <v>6.0</v>
      </c>
      <c r="R36" s="27">
        <v>6.0</v>
      </c>
      <c r="S36" s="27">
        <v>6.0</v>
      </c>
      <c r="T36" s="27">
        <v>6.0</v>
      </c>
      <c r="U36" s="27">
        <v>6.0</v>
      </c>
      <c r="V36" s="27">
        <v>6.0</v>
      </c>
      <c r="W36" s="1"/>
      <c r="X36" s="1"/>
      <c r="Y36" s="1"/>
      <c r="Z36" s="1"/>
      <c r="AA36" s="1"/>
      <c r="AB36" s="1"/>
      <c r="AC36" s="1"/>
      <c r="AD36" s="1"/>
      <c r="AE36" s="1" t="str">
        <f t="shared" ref="AE36:AF36" si="21">IF(OR(AE$21="",$G36=""),"",AD36)</f>
        <v/>
      </c>
      <c r="AF36" s="1" t="str">
        <f t="shared" si="21"/>
        <v/>
      </c>
    </row>
    <row r="37" ht="12.75" customHeight="1">
      <c r="D37" s="1"/>
      <c r="F37" s="25" t="str">
        <f t="shared" ref="F37:F67" si="23">IF(C37&lt;&gt;"","Planned","")</f>
        <v/>
      </c>
      <c r="G37" s="1"/>
      <c r="H37" s="1" t="str">
        <f t="shared" si="3"/>
        <v/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 t="str">
        <f t="shared" ref="AE37:AF37" si="22">IF(OR(AE$21="",$G37=""),"",AD37)</f>
        <v/>
      </c>
      <c r="AF37" s="1" t="str">
        <f t="shared" si="22"/>
        <v/>
      </c>
    </row>
    <row r="38" ht="12.75" customHeight="1">
      <c r="D38" s="1"/>
      <c r="F38" s="25" t="str">
        <f t="shared" si="23"/>
        <v/>
      </c>
      <c r="G38" s="1"/>
      <c r="H38" s="1" t="str">
        <f t="shared" si="3"/>
        <v/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 t="str">
        <f t="shared" ref="AE38:AF38" si="24">IF(OR(AE$21="",$G38=""),"",AD38)</f>
        <v/>
      </c>
      <c r="AF38" s="1" t="str">
        <f t="shared" si="24"/>
        <v/>
      </c>
    </row>
    <row r="39" ht="12.75" customHeight="1">
      <c r="D39" s="1"/>
      <c r="F39" s="25" t="str">
        <f t="shared" si="23"/>
        <v/>
      </c>
      <c r="G39" s="1"/>
      <c r="H39" s="1" t="str">
        <f t="shared" si="3"/>
        <v/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 t="str">
        <f t="shared" ref="AE39:AF39" si="25">IF(OR(AE$21="",$G39=""),"",AD39)</f>
        <v/>
      </c>
      <c r="AF39" s="1" t="str">
        <f t="shared" si="25"/>
        <v/>
      </c>
    </row>
    <row r="40" ht="12.75" customHeight="1">
      <c r="D40" s="1"/>
      <c r="F40" s="25" t="str">
        <f t="shared" si="23"/>
        <v/>
      </c>
      <c r="G40" s="1"/>
      <c r="H40" s="1" t="str">
        <f t="shared" si="3"/>
        <v/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 t="str">
        <f t="shared" ref="AE40:AF40" si="26">IF(OR(AE$21="",$G40=""),"",AD40)</f>
        <v/>
      </c>
      <c r="AF40" s="1" t="str">
        <f t="shared" si="26"/>
        <v/>
      </c>
    </row>
    <row r="41" ht="12.75" customHeight="1">
      <c r="D41" s="1"/>
      <c r="F41" s="25" t="str">
        <f t="shared" si="23"/>
        <v/>
      </c>
      <c r="G41" s="1"/>
      <c r="H41" s="1" t="str">
        <f t="shared" si="3"/>
        <v/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 t="str">
        <f t="shared" ref="AE41:AF41" si="27">IF(OR(AE$21="",$G41=""),"",AD41)</f>
        <v/>
      </c>
      <c r="AF41" s="1" t="str">
        <f t="shared" si="27"/>
        <v/>
      </c>
    </row>
    <row r="42" ht="12.75" customHeight="1">
      <c r="D42" s="1"/>
      <c r="F42" s="25" t="str">
        <f t="shared" si="23"/>
        <v/>
      </c>
      <c r="G42" s="1"/>
      <c r="H42" s="1" t="str">
        <f t="shared" si="3"/>
        <v/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 t="str">
        <f t="shared" ref="AE42:AF42" si="28">IF(OR(AE$21="",$G42=""),"",AD42)</f>
        <v/>
      </c>
      <c r="AF42" s="1" t="str">
        <f t="shared" si="28"/>
        <v/>
      </c>
    </row>
    <row r="43" ht="12.75" customHeight="1">
      <c r="D43" s="1"/>
      <c r="F43" s="25" t="str">
        <f t="shared" si="23"/>
        <v/>
      </c>
      <c r="G43" s="1"/>
      <c r="H43" s="1" t="str">
        <f t="shared" si="3"/>
        <v/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 t="str">
        <f t="shared" ref="AE43:AF43" si="29">IF(OR(AE$21="",$G43=""),"",AD43)</f>
        <v/>
      </c>
      <c r="AF43" s="1" t="str">
        <f t="shared" si="29"/>
        <v/>
      </c>
    </row>
    <row r="44" ht="12.75" customHeight="1">
      <c r="D44" s="1"/>
      <c r="F44" s="25" t="str">
        <f t="shared" si="23"/>
        <v/>
      </c>
      <c r="G44" s="1"/>
      <c r="H44" s="1" t="str">
        <f t="shared" si="3"/>
        <v/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 t="str">
        <f t="shared" ref="AE44:AF44" si="30">IF(OR(AE$21="",$G44=""),"",AD44)</f>
        <v/>
      </c>
      <c r="AF44" s="1" t="str">
        <f t="shared" si="30"/>
        <v/>
      </c>
    </row>
    <row r="45" ht="12.75" customHeight="1">
      <c r="D45" s="1"/>
      <c r="F45" s="25" t="str">
        <f t="shared" si="23"/>
        <v/>
      </c>
      <c r="G45" s="1"/>
      <c r="H45" s="1" t="str">
        <f t="shared" si="3"/>
        <v/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 t="str">
        <f t="shared" ref="AE45:AF45" si="31">IF(OR(AE$21="",$G45=""),"",AD45)</f>
        <v/>
      </c>
      <c r="AF45" s="1" t="str">
        <f t="shared" si="31"/>
        <v/>
      </c>
    </row>
    <row r="46" ht="12.75" customHeight="1">
      <c r="D46" s="1"/>
      <c r="F46" s="25" t="str">
        <f t="shared" si="23"/>
        <v/>
      </c>
      <c r="G46" s="1"/>
      <c r="H46" s="1" t="str">
        <f t="shared" si="3"/>
        <v/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 t="str">
        <f t="shared" ref="AE46:AF46" si="32">IF(OR(AE$21="",$G46=""),"",AD46)</f>
        <v/>
      </c>
      <c r="AF46" s="1" t="str">
        <f t="shared" si="32"/>
        <v/>
      </c>
    </row>
    <row r="47" ht="12.75" customHeight="1">
      <c r="D47" s="1"/>
      <c r="F47" s="25" t="str">
        <f t="shared" si="23"/>
        <v/>
      </c>
      <c r="G47" s="1"/>
      <c r="H47" s="1" t="str">
        <f t="shared" si="3"/>
        <v/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 t="str">
        <f t="shared" ref="AE47:AF47" si="33">IF(OR(AE$21="",$G47=""),"",AD47)</f>
        <v/>
      </c>
      <c r="AF47" s="1" t="str">
        <f t="shared" si="33"/>
        <v/>
      </c>
    </row>
    <row r="48" ht="12.75" customHeight="1">
      <c r="D48" s="1"/>
      <c r="F48" s="25" t="str">
        <f t="shared" si="23"/>
        <v/>
      </c>
      <c r="G48" s="1"/>
      <c r="H48" s="1" t="str">
        <f t="shared" si="3"/>
        <v/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 t="str">
        <f t="shared" ref="AE48:AF48" si="34">IF(OR(AE$21="",$G48=""),"",AD48)</f>
        <v/>
      </c>
      <c r="AF48" s="1" t="str">
        <f t="shared" si="34"/>
        <v/>
      </c>
    </row>
    <row r="49" ht="12.75" customHeight="1">
      <c r="D49" s="1"/>
      <c r="F49" s="25" t="str">
        <f t="shared" si="23"/>
        <v/>
      </c>
      <c r="G49" s="1"/>
      <c r="H49" s="1" t="str">
        <f t="shared" si="3"/>
        <v/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 t="str">
        <f t="shared" ref="AE49:AF49" si="35">IF(OR(AE$21="",$G49=""),"",AD49)</f>
        <v/>
      </c>
      <c r="AF49" s="1" t="str">
        <f t="shared" si="35"/>
        <v/>
      </c>
    </row>
    <row r="50" ht="12.75" customHeight="1">
      <c r="D50" s="1"/>
      <c r="F50" s="25" t="str">
        <f t="shared" si="23"/>
        <v/>
      </c>
      <c r="G50" s="1"/>
      <c r="H50" s="1" t="str">
        <f t="shared" si="3"/>
        <v/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 t="str">
        <f t="shared" ref="AE50:AF50" si="36">IF(OR(AE$21="",$G50=""),"",AD50)</f>
        <v/>
      </c>
      <c r="AF50" s="1" t="str">
        <f t="shared" si="36"/>
        <v/>
      </c>
    </row>
    <row r="51" ht="12.75" customHeight="1">
      <c r="D51" s="1"/>
      <c r="F51" s="25" t="str">
        <f t="shared" si="23"/>
        <v/>
      </c>
      <c r="G51" s="1"/>
      <c r="H51" s="1" t="str">
        <f t="shared" si="3"/>
        <v/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 t="str">
        <f t="shared" ref="AE51:AF51" si="37">IF(OR(AE$21="",$G51=""),"",AD51)</f>
        <v/>
      </c>
      <c r="AF51" s="1" t="str">
        <f t="shared" si="37"/>
        <v/>
      </c>
    </row>
    <row r="52" ht="12.75" customHeight="1">
      <c r="D52" s="1"/>
      <c r="F52" s="25" t="str">
        <f t="shared" si="23"/>
        <v/>
      </c>
      <c r="G52" s="1"/>
      <c r="H52" s="1" t="str">
        <f t="shared" si="3"/>
        <v/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 t="str">
        <f t="shared" ref="AE52:AF52" si="38">IF(OR(AE$21="",$G52=""),"",AD52)</f>
        <v/>
      </c>
      <c r="AF52" s="1" t="str">
        <f t="shared" si="38"/>
        <v/>
      </c>
    </row>
    <row r="53" ht="12.75" customHeight="1">
      <c r="D53" s="1"/>
      <c r="F53" s="25" t="str">
        <f t="shared" si="23"/>
        <v/>
      </c>
      <c r="G53" s="1"/>
      <c r="H53" s="1" t="str">
        <f t="shared" si="3"/>
        <v/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 t="str">
        <f t="shared" ref="AE53:AF53" si="39">IF(OR(AE$21="",$G53=""),"",AD53)</f>
        <v/>
      </c>
      <c r="AF53" s="1" t="str">
        <f t="shared" si="39"/>
        <v/>
      </c>
    </row>
    <row r="54" ht="12.75" customHeight="1">
      <c r="D54" s="1"/>
      <c r="F54" s="25" t="str">
        <f t="shared" si="23"/>
        <v/>
      </c>
      <c r="G54" s="1"/>
      <c r="H54" s="1" t="str">
        <f t="shared" si="3"/>
        <v/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 t="str">
        <f t="shared" ref="AE54:AF54" si="40">IF(OR(AE$21="",$G54=""),"",AD54)</f>
        <v/>
      </c>
      <c r="AF54" s="1" t="str">
        <f t="shared" si="40"/>
        <v/>
      </c>
    </row>
    <row r="55" ht="12.75" customHeight="1">
      <c r="D55" s="1"/>
      <c r="F55" s="25" t="str">
        <f t="shared" si="23"/>
        <v/>
      </c>
      <c r="G55" s="1"/>
      <c r="H55" s="1" t="str">
        <f t="shared" si="3"/>
        <v/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 t="str">
        <f t="shared" ref="AE55:AF55" si="41">IF(OR(AE$21="",$G55=""),"",AD55)</f>
        <v/>
      </c>
      <c r="AF55" s="1" t="str">
        <f t="shared" si="41"/>
        <v/>
      </c>
    </row>
    <row r="56" ht="12.75" customHeight="1">
      <c r="D56" s="1"/>
      <c r="F56" s="25" t="str">
        <f t="shared" si="23"/>
        <v/>
      </c>
      <c r="G56" s="1"/>
      <c r="H56" s="1" t="str">
        <f t="shared" si="3"/>
        <v/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 t="str">
        <f t="shared" ref="AE56:AF56" si="42">IF(OR(AE$21="",$G56=""),"",AD56)</f>
        <v/>
      </c>
      <c r="AF56" s="1" t="str">
        <f t="shared" si="42"/>
        <v/>
      </c>
    </row>
    <row r="57" ht="12.75" customHeight="1">
      <c r="D57" s="1"/>
      <c r="F57" s="25" t="str">
        <f t="shared" si="23"/>
        <v/>
      </c>
      <c r="G57" s="1"/>
      <c r="H57" s="1" t="str">
        <f t="shared" si="3"/>
        <v/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 t="str">
        <f t="shared" ref="AE57:AF57" si="43">IF(OR(AE$21="",$G57=""),"",AD57)</f>
        <v/>
      </c>
      <c r="AF57" s="1" t="str">
        <f t="shared" si="43"/>
        <v/>
      </c>
    </row>
    <row r="58" ht="12.75" customHeight="1">
      <c r="D58" s="1"/>
      <c r="F58" s="25" t="str">
        <f t="shared" si="23"/>
        <v/>
      </c>
      <c r="G58" s="1"/>
      <c r="H58" s="1" t="str">
        <f t="shared" si="3"/>
        <v/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 t="str">
        <f t="shared" ref="AE58:AF58" si="44">IF(OR(AE$21="",$G58=""),"",AD58)</f>
        <v/>
      </c>
      <c r="AF58" s="1" t="str">
        <f t="shared" si="44"/>
        <v/>
      </c>
    </row>
    <row r="59" ht="12.75" customHeight="1">
      <c r="D59" s="1"/>
      <c r="F59" s="25" t="str">
        <f t="shared" si="23"/>
        <v/>
      </c>
      <c r="G59" s="1"/>
      <c r="H59" s="1" t="str">
        <f t="shared" si="3"/>
        <v/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 t="str">
        <f t="shared" ref="AE59:AF59" si="45">IF(OR(AE$21="",$G59=""),"",AD59)</f>
        <v/>
      </c>
      <c r="AF59" s="1" t="str">
        <f t="shared" si="45"/>
        <v/>
      </c>
    </row>
    <row r="60" ht="12.75" customHeight="1">
      <c r="D60" s="1"/>
      <c r="F60" s="25" t="str">
        <f t="shared" si="23"/>
        <v/>
      </c>
      <c r="G60" s="1"/>
      <c r="H60" s="1" t="str">
        <f t="shared" si="3"/>
        <v/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 t="str">
        <f t="shared" ref="AE60:AF60" si="46">IF(OR(AE$21="",$G60=""),"",AD60)</f>
        <v/>
      </c>
      <c r="AF60" s="1" t="str">
        <f t="shared" si="46"/>
        <v/>
      </c>
    </row>
    <row r="61" ht="12.75" customHeight="1">
      <c r="D61" s="1"/>
      <c r="F61" s="25" t="str">
        <f t="shared" si="23"/>
        <v/>
      </c>
      <c r="G61" s="1"/>
      <c r="H61" s="1" t="str">
        <f t="shared" si="3"/>
        <v/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 t="str">
        <f t="shared" ref="AE61:AF61" si="47">IF(OR(AE$21="",$G61=""),"",AD61)</f>
        <v/>
      </c>
      <c r="AF61" s="1" t="str">
        <f t="shared" si="47"/>
        <v/>
      </c>
    </row>
    <row r="62" ht="12.75" customHeight="1">
      <c r="D62" s="1"/>
      <c r="F62" s="25" t="str">
        <f t="shared" si="23"/>
        <v/>
      </c>
      <c r="G62" s="1"/>
      <c r="H62" s="1" t="str">
        <f t="shared" si="3"/>
        <v/>
      </c>
      <c r="I62" s="1" t="str">
        <f t="shared" ref="I62:AF62" si="48">IF(OR(I$21="",$G62=""),"",H62)</f>
        <v/>
      </c>
      <c r="J62" s="1" t="str">
        <f t="shared" si="48"/>
        <v/>
      </c>
      <c r="K62" s="1" t="str">
        <f t="shared" si="48"/>
        <v/>
      </c>
      <c r="L62" s="1" t="str">
        <f t="shared" si="48"/>
        <v/>
      </c>
      <c r="M62" s="1" t="str">
        <f t="shared" si="48"/>
        <v/>
      </c>
      <c r="N62" s="1" t="str">
        <f t="shared" si="48"/>
        <v/>
      </c>
      <c r="O62" s="1" t="str">
        <f t="shared" si="48"/>
        <v/>
      </c>
      <c r="P62" s="1" t="str">
        <f t="shared" si="48"/>
        <v/>
      </c>
      <c r="Q62" s="1" t="str">
        <f t="shared" si="48"/>
        <v/>
      </c>
      <c r="R62" s="1" t="str">
        <f t="shared" si="48"/>
        <v/>
      </c>
      <c r="S62" s="1" t="str">
        <f t="shared" si="48"/>
        <v/>
      </c>
      <c r="T62" s="1" t="str">
        <f t="shared" si="48"/>
        <v/>
      </c>
      <c r="U62" s="1" t="str">
        <f t="shared" si="48"/>
        <v/>
      </c>
      <c r="V62" s="1" t="str">
        <f t="shared" si="48"/>
        <v/>
      </c>
      <c r="W62" s="1" t="str">
        <f t="shared" si="48"/>
        <v/>
      </c>
      <c r="X62" s="1" t="str">
        <f t="shared" si="48"/>
        <v/>
      </c>
      <c r="Y62" s="1" t="str">
        <f t="shared" si="48"/>
        <v/>
      </c>
      <c r="Z62" s="1" t="str">
        <f t="shared" si="48"/>
        <v/>
      </c>
      <c r="AA62" s="1" t="str">
        <f t="shared" si="48"/>
        <v/>
      </c>
      <c r="AB62" s="1" t="str">
        <f t="shared" si="48"/>
        <v/>
      </c>
      <c r="AC62" s="1" t="str">
        <f t="shared" si="48"/>
        <v/>
      </c>
      <c r="AD62" s="1" t="str">
        <f t="shared" si="48"/>
        <v/>
      </c>
      <c r="AE62" s="1" t="str">
        <f t="shared" si="48"/>
        <v/>
      </c>
      <c r="AF62" s="1" t="str">
        <f t="shared" si="48"/>
        <v/>
      </c>
    </row>
    <row r="63" ht="12.75" customHeight="1">
      <c r="D63" s="1"/>
      <c r="F63" s="25" t="str">
        <f t="shared" si="23"/>
        <v/>
      </c>
      <c r="G63" s="1"/>
      <c r="H63" s="1" t="str">
        <f t="shared" si="3"/>
        <v/>
      </c>
      <c r="I63" s="1" t="str">
        <f t="shared" ref="I63:AF63" si="49">IF(OR(I$21="",$G63=""),"",H63)</f>
        <v/>
      </c>
      <c r="J63" s="1" t="str">
        <f t="shared" si="49"/>
        <v/>
      </c>
      <c r="K63" s="1" t="str">
        <f t="shared" si="49"/>
        <v/>
      </c>
      <c r="L63" s="1" t="str">
        <f t="shared" si="49"/>
        <v/>
      </c>
      <c r="M63" s="1" t="str">
        <f t="shared" si="49"/>
        <v/>
      </c>
      <c r="N63" s="1" t="str">
        <f t="shared" si="49"/>
        <v/>
      </c>
      <c r="O63" s="1" t="str">
        <f t="shared" si="49"/>
        <v/>
      </c>
      <c r="P63" s="1" t="str">
        <f t="shared" si="49"/>
        <v/>
      </c>
      <c r="Q63" s="1" t="str">
        <f t="shared" si="49"/>
        <v/>
      </c>
      <c r="R63" s="1" t="str">
        <f t="shared" si="49"/>
        <v/>
      </c>
      <c r="S63" s="1" t="str">
        <f t="shared" si="49"/>
        <v/>
      </c>
      <c r="T63" s="1" t="str">
        <f t="shared" si="49"/>
        <v/>
      </c>
      <c r="U63" s="1" t="str">
        <f t="shared" si="49"/>
        <v/>
      </c>
      <c r="V63" s="1" t="str">
        <f t="shared" si="49"/>
        <v/>
      </c>
      <c r="W63" s="1" t="str">
        <f t="shared" si="49"/>
        <v/>
      </c>
      <c r="X63" s="1" t="str">
        <f t="shared" si="49"/>
        <v/>
      </c>
      <c r="Y63" s="1" t="str">
        <f t="shared" si="49"/>
        <v/>
      </c>
      <c r="Z63" s="1" t="str">
        <f t="shared" si="49"/>
        <v/>
      </c>
      <c r="AA63" s="1" t="str">
        <f t="shared" si="49"/>
        <v/>
      </c>
      <c r="AB63" s="1" t="str">
        <f t="shared" si="49"/>
        <v/>
      </c>
      <c r="AC63" s="1" t="str">
        <f t="shared" si="49"/>
        <v/>
      </c>
      <c r="AD63" s="1" t="str">
        <f t="shared" si="49"/>
        <v/>
      </c>
      <c r="AE63" s="1" t="str">
        <f t="shared" si="49"/>
        <v/>
      </c>
      <c r="AF63" s="1" t="str">
        <f t="shared" si="49"/>
        <v/>
      </c>
    </row>
    <row r="64" ht="12.75" customHeight="1">
      <c r="D64" s="1"/>
      <c r="F64" s="25" t="str">
        <f t="shared" si="23"/>
        <v/>
      </c>
      <c r="G64" s="1"/>
      <c r="H64" s="1" t="str">
        <f t="shared" si="3"/>
        <v/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 t="str">
        <f t="shared" ref="AE64:AF64" si="50">IF(OR(AE$21="",$G64=""),"",AD64)</f>
        <v/>
      </c>
      <c r="AF64" s="1" t="str">
        <f t="shared" si="50"/>
        <v/>
      </c>
    </row>
    <row r="65" ht="12.75" customHeight="1">
      <c r="D65" s="1"/>
      <c r="F65" s="25" t="str">
        <f t="shared" si="23"/>
        <v/>
      </c>
      <c r="G65" s="1"/>
      <c r="H65" s="1" t="str">
        <f t="shared" si="3"/>
        <v/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 t="str">
        <f t="shared" ref="AE65:AF65" si="51">IF(OR(AE$21="",$G65=""),"",AD65)</f>
        <v/>
      </c>
      <c r="AF65" s="1" t="str">
        <f t="shared" si="51"/>
        <v/>
      </c>
    </row>
    <row r="66" ht="12.75" customHeight="1">
      <c r="D66" s="1"/>
      <c r="F66" s="25" t="str">
        <f t="shared" si="23"/>
        <v/>
      </c>
      <c r="G66" s="1"/>
      <c r="H66" s="1" t="str">
        <f t="shared" si="3"/>
        <v/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ht="12.75" customHeight="1">
      <c r="D67" s="1"/>
      <c r="F67" s="25" t="str">
        <f t="shared" si="23"/>
        <v/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ht="12.75" customHeight="1">
      <c r="D68" s="1"/>
      <c r="F68" s="25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ht="12.75" customHeight="1">
      <c r="D69" s="1"/>
      <c r="F69" s="25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ht="12.75" customHeight="1">
      <c r="D70" s="1"/>
      <c r="F70" s="25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ht="12.75" customHeight="1">
      <c r="A71" s="1"/>
      <c r="D71" s="1"/>
      <c r="F71" s="25" t="str">
        <f>IF(C71&lt;&gt;"","Planned","")</f>
        <v/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ht="12.75" customHeight="1">
      <c r="D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ht="12.75" customHeight="1">
      <c r="D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ht="12.75" customHeight="1">
      <c r="D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ht="12.75" customHeight="1">
      <c r="D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ht="12.75" customHeight="1">
      <c r="D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ht="12.75" customHeight="1">
      <c r="D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ht="12.75" customHeight="1">
      <c r="D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ht="12.75" customHeight="1">
      <c r="D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ht="12.75" customHeight="1">
      <c r="D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ht="12.75" customHeight="1">
      <c r="D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ht="12.75" customHeight="1">
      <c r="D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ht="12.75" customHeight="1">
      <c r="D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ht="12.75" customHeight="1">
      <c r="D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ht="12.75" customHeight="1">
      <c r="D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ht="12.75" customHeight="1">
      <c r="D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ht="12.75" customHeight="1">
      <c r="D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ht="12.75" customHeight="1">
      <c r="D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ht="12.75" customHeight="1">
      <c r="D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ht="12.75" customHeight="1">
      <c r="D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ht="12.75" customHeight="1">
      <c r="D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ht="12.75" customHeight="1">
      <c r="D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ht="12.75" customHeight="1">
      <c r="D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ht="12.75" customHeight="1">
      <c r="D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ht="12.75" customHeight="1">
      <c r="D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ht="12.75" customHeight="1">
      <c r="D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ht="12.75" customHeight="1">
      <c r="D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ht="12.75" customHeight="1">
      <c r="D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ht="12.75" customHeight="1">
      <c r="D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ht="12.75" customHeight="1">
      <c r="D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ht="12.75" customHeight="1">
      <c r="D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ht="12.75" customHeight="1">
      <c r="D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ht="12.75" customHeight="1">
      <c r="D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ht="12.75" customHeight="1">
      <c r="D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ht="12.75" customHeight="1">
      <c r="D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ht="12.75" customHeight="1">
      <c r="D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ht="12.75" customHeight="1">
      <c r="D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ht="12.75" customHeight="1">
      <c r="D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ht="12.75" customHeight="1">
      <c r="D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ht="12.75" customHeight="1">
      <c r="D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ht="12.75" customHeight="1">
      <c r="D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ht="12.75" customHeight="1">
      <c r="D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ht="12.75" customHeight="1">
      <c r="D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ht="12.75" customHeight="1">
      <c r="D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ht="12.75" customHeight="1">
      <c r="D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ht="12.75" customHeight="1">
      <c r="D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ht="12.75" customHeight="1">
      <c r="D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ht="12.75" customHeight="1">
      <c r="D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ht="12.75" customHeight="1">
      <c r="D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ht="12.75" customHeight="1">
      <c r="D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ht="12.75" customHeight="1">
      <c r="D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ht="12.75" customHeight="1">
      <c r="D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ht="12.75" customHeight="1">
      <c r="D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 ht="12.75" customHeight="1">
      <c r="D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 ht="12.75" customHeight="1">
      <c r="D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 ht="12.75" customHeight="1">
      <c r="D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 ht="12.75" customHeight="1">
      <c r="D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ht="12.75" customHeight="1">
      <c r="D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ht="12.75" customHeight="1">
      <c r="D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 ht="12.75" customHeight="1">
      <c r="D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ht="12.75" customHeight="1">
      <c r="D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ht="12.75" customHeight="1">
      <c r="D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 ht="12.75" customHeight="1">
      <c r="D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ht="12.75" customHeight="1">
      <c r="D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 ht="12.75" customHeight="1">
      <c r="D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 ht="12.75" customHeight="1">
      <c r="D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ht="12.75" customHeight="1">
      <c r="D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ht="12.75" customHeight="1">
      <c r="D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 ht="12.75" customHeight="1">
      <c r="D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ht="12.75" customHeight="1">
      <c r="D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ht="12.75" customHeight="1">
      <c r="D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ht="12.75" customHeight="1">
      <c r="D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 ht="12.75" customHeight="1">
      <c r="D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ht="12.75" customHeight="1">
      <c r="D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ht="12.75" customHeight="1">
      <c r="D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 ht="12.75" customHeight="1">
      <c r="D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ht="12.75" customHeight="1">
      <c r="D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ht="12.75" customHeight="1">
      <c r="D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ht="12.75" customHeight="1">
      <c r="D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ht="12.75" customHeight="1">
      <c r="D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ht="12.75" customHeight="1">
      <c r="D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ht="12.75" customHeight="1">
      <c r="D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ht="12.75" customHeight="1">
      <c r="D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ht="12.75" customHeight="1">
      <c r="D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ht="12.75" customHeight="1">
      <c r="D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ht="12.75" customHeight="1">
      <c r="D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ht="12.75" customHeight="1">
      <c r="D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ht="12.75" customHeight="1">
      <c r="D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ht="12.75" customHeight="1">
      <c r="D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ht="12.75" customHeight="1">
      <c r="D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ht="12.75" customHeight="1">
      <c r="D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ht="12.75" customHeight="1">
      <c r="D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ht="12.75" customHeight="1">
      <c r="D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ht="12.75" customHeight="1">
      <c r="D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ht="12.75" customHeight="1">
      <c r="D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ht="12.75" customHeight="1">
      <c r="D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ht="12.75" customHeight="1">
      <c r="D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ht="12.75" customHeight="1">
      <c r="D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ht="12.75" customHeight="1">
      <c r="D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ht="12.75" customHeight="1">
      <c r="D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ht="12.75" customHeight="1">
      <c r="D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ht="12.75" customHeight="1">
      <c r="D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ht="12.75" customHeight="1">
      <c r="D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ht="12.75" customHeight="1">
      <c r="D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ht="12.75" customHeight="1">
      <c r="D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ht="12.75" customHeight="1">
      <c r="D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ht="12.75" customHeight="1">
      <c r="D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ht="12.75" customHeight="1">
      <c r="D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ht="12.75" customHeight="1">
      <c r="D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ht="12.75" customHeight="1">
      <c r="D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ht="12.75" customHeight="1">
      <c r="D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ht="12.75" customHeight="1">
      <c r="D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ht="12.75" customHeight="1">
      <c r="D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ht="12.75" customHeight="1">
      <c r="D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ht="12.75" customHeight="1">
      <c r="D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ht="12.75" customHeight="1">
      <c r="D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ht="12.75" customHeight="1">
      <c r="D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ht="12.75" customHeight="1">
      <c r="D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ht="12.75" customHeight="1">
      <c r="D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ht="12.75" customHeight="1">
      <c r="D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ht="12.75" customHeight="1">
      <c r="D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ht="12.75" customHeight="1">
      <c r="D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ht="12.75" customHeight="1">
      <c r="D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ht="12.75" customHeight="1">
      <c r="D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ht="12.75" customHeight="1">
      <c r="D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ht="12.75" customHeight="1">
      <c r="D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ht="12.75" customHeight="1">
      <c r="D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ht="12.75" customHeight="1">
      <c r="D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ht="12.75" customHeight="1">
      <c r="D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ht="12.75" customHeight="1">
      <c r="D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ht="12.75" customHeight="1">
      <c r="D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ht="12.75" customHeight="1">
      <c r="D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ht="12.75" customHeight="1">
      <c r="D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ht="12.75" customHeight="1">
      <c r="D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ht="12.75" customHeight="1">
      <c r="D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ht="12.75" customHeight="1">
      <c r="D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ht="12.75" customHeight="1">
      <c r="D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ht="12.75" customHeight="1">
      <c r="D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ht="12.75" customHeight="1">
      <c r="D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ht="12.75" customHeight="1">
      <c r="D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ht="12.75" customHeight="1">
      <c r="D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ht="12.75" customHeight="1">
      <c r="D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ht="12.75" customHeight="1">
      <c r="D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ht="12.75" customHeight="1">
      <c r="D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 ht="12.75" customHeight="1">
      <c r="D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ht="12.75" customHeight="1">
      <c r="D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ht="12.75" customHeight="1">
      <c r="D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ht="12.75" customHeight="1">
      <c r="D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ht="12.75" customHeight="1">
      <c r="D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ht="12.75" customHeight="1">
      <c r="D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ht="12.75" customHeight="1">
      <c r="D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 ht="12.75" customHeight="1">
      <c r="D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ht="12.75" customHeight="1">
      <c r="D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ht="12.75" customHeight="1">
      <c r="D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ht="12.75" customHeight="1">
      <c r="D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ht="12.75" customHeight="1">
      <c r="D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ht="12.75" customHeight="1">
      <c r="D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ht="12.75" customHeight="1">
      <c r="D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ht="12.75" customHeight="1">
      <c r="D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ht="12.75" customHeight="1">
      <c r="D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ht="12.75" customHeight="1">
      <c r="D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ht="12.75" customHeight="1">
      <c r="D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ht="12.75" customHeight="1">
      <c r="D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ht="12.75" customHeight="1">
      <c r="D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ht="12.75" customHeight="1">
      <c r="D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ht="12.75" customHeight="1">
      <c r="D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ht="12.75" customHeight="1">
      <c r="D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ht="12.75" customHeight="1">
      <c r="D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ht="12.75" customHeight="1">
      <c r="D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ht="12.75" customHeight="1">
      <c r="D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ht="12.75" customHeight="1">
      <c r="D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ht="12.75" customHeight="1">
      <c r="D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ht="12.75" customHeight="1">
      <c r="D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ht="12.75" customHeight="1">
      <c r="D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ht="12.75" customHeight="1">
      <c r="D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 ht="12.75" customHeight="1">
      <c r="D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 ht="12.75" customHeight="1">
      <c r="D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ht="12.75" customHeight="1">
      <c r="D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ht="12.75" customHeight="1">
      <c r="D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ht="12.75" customHeight="1">
      <c r="D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ht="12.75" customHeight="1">
      <c r="D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ht="12.75" customHeight="1">
      <c r="D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 ht="12.75" customHeight="1">
      <c r="D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 ht="12.75" customHeight="1">
      <c r="D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 ht="12.75" customHeight="1">
      <c r="D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 ht="12.75" customHeight="1">
      <c r="D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 ht="12.75" customHeight="1">
      <c r="D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 ht="12.75" customHeight="1">
      <c r="D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 ht="12.75" customHeight="1">
      <c r="D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 ht="12.75" customHeight="1">
      <c r="D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 ht="12.75" customHeight="1">
      <c r="D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 ht="12.75" customHeight="1">
      <c r="D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 ht="12.75" customHeight="1">
      <c r="D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 ht="12.75" customHeight="1">
      <c r="D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 ht="12.75" customHeight="1">
      <c r="D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 ht="12.75" customHeight="1">
      <c r="D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 ht="12.75" customHeight="1">
      <c r="D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 ht="12.75" customHeight="1">
      <c r="D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 ht="12.75" customHeight="1">
      <c r="D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 ht="12.75" customHeight="1">
      <c r="D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 ht="12.75" customHeight="1">
      <c r="D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 ht="12.75" customHeight="1">
      <c r="D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 ht="12.75" customHeight="1">
      <c r="D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 ht="12.75" customHeight="1">
      <c r="D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 ht="12.75" customHeight="1">
      <c r="D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 ht="12.75" customHeight="1">
      <c r="D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 ht="12.75" customHeight="1">
      <c r="D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 ht="12.75" customHeight="1">
      <c r="D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 ht="12.75" customHeight="1">
      <c r="D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 ht="12.75" customHeight="1">
      <c r="D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 ht="12.75" customHeight="1">
      <c r="D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 ht="12.75" customHeight="1">
      <c r="D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 ht="12.75" customHeight="1">
      <c r="D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 ht="12.75" customHeight="1">
      <c r="D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 ht="12.75" customHeight="1">
      <c r="D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 ht="12.75" customHeight="1">
      <c r="D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 ht="12.75" customHeight="1">
      <c r="D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 ht="12.75" customHeight="1">
      <c r="D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 ht="12.75" customHeight="1">
      <c r="D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 ht="12.75" customHeight="1">
      <c r="D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 ht="12.75" customHeight="1">
      <c r="D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 ht="12.75" customHeight="1">
      <c r="D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 ht="12.75" customHeight="1">
      <c r="D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 ht="12.75" customHeight="1">
      <c r="D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 ht="12.75" customHeight="1">
      <c r="D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 ht="12.75" customHeight="1">
      <c r="D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 ht="12.75" customHeight="1">
      <c r="D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 ht="12.75" customHeight="1">
      <c r="D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 ht="12.75" customHeight="1">
      <c r="D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 ht="12.75" customHeight="1">
      <c r="D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 ht="12.75" customHeight="1">
      <c r="D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 ht="12.75" customHeight="1">
      <c r="D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 ht="12.75" customHeight="1">
      <c r="D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 ht="12.75" customHeight="1">
      <c r="D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 ht="12.75" customHeight="1">
      <c r="D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 ht="12.75" customHeight="1">
      <c r="D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 ht="12.75" customHeight="1">
      <c r="D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 ht="12.75" customHeight="1">
      <c r="D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 ht="12.75" customHeight="1">
      <c r="D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 ht="12.75" customHeight="1">
      <c r="D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 ht="12.75" customHeight="1">
      <c r="D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 ht="12.75" customHeight="1">
      <c r="D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 ht="12.75" customHeight="1">
      <c r="D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 ht="12.75" customHeight="1">
      <c r="D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 ht="12.75" customHeight="1">
      <c r="D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 ht="12.75" customHeight="1">
      <c r="D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 ht="12.75" customHeight="1">
      <c r="D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 ht="12.75" customHeight="1">
      <c r="D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 ht="12.75" customHeight="1">
      <c r="D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 ht="12.75" customHeight="1">
      <c r="D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 ht="12.75" customHeight="1">
      <c r="D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 ht="12.75" customHeight="1">
      <c r="D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 ht="12.75" customHeight="1">
      <c r="D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 ht="12.75" customHeight="1">
      <c r="D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 ht="12.75" customHeight="1">
      <c r="D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 ht="12.75" customHeight="1">
      <c r="D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 ht="12.75" customHeight="1">
      <c r="D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 ht="12.75" customHeight="1">
      <c r="D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 ht="12.75" customHeight="1">
      <c r="D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 ht="12.75" customHeight="1">
      <c r="D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 ht="12.75" customHeight="1">
      <c r="D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 ht="12.75" customHeight="1">
      <c r="D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 ht="12.75" customHeight="1">
      <c r="D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 ht="12.75" customHeight="1">
      <c r="D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 ht="12.75" customHeight="1">
      <c r="D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 ht="12.75" customHeight="1">
      <c r="D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 ht="12.75" customHeight="1">
      <c r="D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 ht="12.75" customHeight="1">
      <c r="D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 ht="12.75" customHeight="1">
      <c r="D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 ht="12.75" customHeight="1">
      <c r="D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 ht="12.75" customHeight="1">
      <c r="D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 ht="12.75" customHeight="1">
      <c r="D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 ht="12.75" customHeight="1">
      <c r="D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 ht="12.75" customHeight="1">
      <c r="D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 ht="12.75" customHeight="1">
      <c r="D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 ht="12.75" customHeight="1">
      <c r="D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 ht="12.75" customHeight="1">
      <c r="D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 ht="12.75" customHeight="1">
      <c r="D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 ht="12.75" customHeight="1">
      <c r="D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 ht="12.75" customHeight="1">
      <c r="D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 ht="12.75" customHeight="1">
      <c r="D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 ht="12.75" customHeight="1">
      <c r="D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 ht="12.75" customHeight="1">
      <c r="D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 ht="12.75" customHeight="1">
      <c r="D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 ht="12.75" customHeight="1">
      <c r="D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 ht="12.75" customHeight="1">
      <c r="D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 ht="12.75" customHeight="1">
      <c r="D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 ht="12.75" customHeight="1">
      <c r="D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 ht="12.75" customHeight="1">
      <c r="D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 ht="12.75" customHeight="1">
      <c r="D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 ht="12.75" customHeight="1">
      <c r="D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 ht="12.75" customHeight="1">
      <c r="D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 ht="12.75" customHeight="1">
      <c r="D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 ht="12.75" customHeight="1">
      <c r="D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 ht="12.75" customHeight="1">
      <c r="D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 ht="12.75" customHeight="1">
      <c r="D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 ht="12.75" customHeight="1">
      <c r="D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 ht="12.75" customHeight="1">
      <c r="D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 ht="12.75" customHeight="1">
      <c r="D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 ht="12.75" customHeight="1">
      <c r="D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 ht="12.75" customHeight="1">
      <c r="D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 ht="12.75" customHeight="1">
      <c r="D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 ht="12.75" customHeight="1">
      <c r="D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 ht="12.75" customHeight="1">
      <c r="D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 ht="12.75" customHeight="1">
      <c r="D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 ht="12.75" customHeight="1">
      <c r="D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 ht="12.75" customHeight="1">
      <c r="D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 ht="12.75" customHeight="1">
      <c r="D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 ht="12.75" customHeight="1">
      <c r="D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 ht="12.75" customHeight="1">
      <c r="D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 ht="12.75" customHeight="1">
      <c r="D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 ht="12.75" customHeight="1">
      <c r="D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 ht="12.75" customHeight="1">
      <c r="D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 ht="12.75" customHeight="1">
      <c r="D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 ht="12.75" customHeight="1">
      <c r="D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 ht="12.75" customHeight="1">
      <c r="D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 ht="12.75" customHeight="1">
      <c r="D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 ht="12.75" customHeight="1">
      <c r="D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 ht="12.75" customHeight="1">
      <c r="D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 ht="12.75" customHeight="1">
      <c r="D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 ht="12.75" customHeight="1">
      <c r="D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 ht="12.75" customHeight="1">
      <c r="D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 ht="12.75" customHeight="1">
      <c r="D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 ht="12.75" customHeight="1">
      <c r="D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 ht="12.75" customHeight="1">
      <c r="D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 ht="12.75" customHeight="1">
      <c r="D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 ht="12.75" customHeight="1">
      <c r="D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 ht="12.75" customHeight="1">
      <c r="D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 ht="12.75" customHeight="1">
      <c r="D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 ht="12.75" customHeight="1">
      <c r="D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 ht="12.75" customHeight="1">
      <c r="D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 ht="12.75" customHeight="1">
      <c r="D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 ht="12.75" customHeight="1">
      <c r="D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 ht="12.75" customHeight="1">
      <c r="D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 ht="12.75" customHeight="1">
      <c r="D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 ht="12.75" customHeight="1">
      <c r="D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 ht="12.75" customHeight="1">
      <c r="D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 ht="12.75" customHeight="1">
      <c r="D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 ht="12.75" customHeight="1">
      <c r="D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 ht="12.75" customHeight="1">
      <c r="D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 ht="12.75" customHeight="1">
      <c r="D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 ht="12.75" customHeight="1">
      <c r="D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 ht="12.75" customHeight="1">
      <c r="D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 ht="12.75" customHeight="1">
      <c r="D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 ht="12.75" customHeight="1">
      <c r="D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 ht="12.75" customHeight="1">
      <c r="D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 ht="12.75" customHeight="1">
      <c r="D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 ht="12.75" customHeight="1">
      <c r="D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 ht="12.75" customHeight="1">
      <c r="D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 ht="12.75" customHeight="1">
      <c r="D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 ht="12.75" customHeight="1">
      <c r="D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 ht="12.75" customHeight="1">
      <c r="D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 ht="12.75" customHeight="1">
      <c r="D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 ht="12.75" customHeight="1">
      <c r="D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 ht="12.75" customHeight="1">
      <c r="D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 ht="12.75" customHeight="1">
      <c r="D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 ht="12.75" customHeight="1">
      <c r="D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 ht="12.75" customHeight="1">
      <c r="D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 ht="12.75" customHeight="1">
      <c r="D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 ht="12.75" customHeight="1">
      <c r="D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 ht="12.75" customHeight="1">
      <c r="D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 ht="12.75" customHeight="1">
      <c r="D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 ht="12.75" customHeight="1">
      <c r="D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 ht="12.75" customHeight="1">
      <c r="D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 ht="12.75" customHeight="1">
      <c r="D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 ht="12.75" customHeight="1">
      <c r="D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 ht="12.75" customHeight="1">
      <c r="D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 ht="12.75" customHeight="1">
      <c r="D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 ht="12.75" customHeight="1">
      <c r="D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 ht="12.75" customHeight="1">
      <c r="D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 ht="12.75" customHeight="1">
      <c r="D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 ht="12.75" customHeight="1">
      <c r="D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 ht="12.75" customHeight="1">
      <c r="D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 ht="12.75" customHeight="1">
      <c r="D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 ht="12.75" customHeight="1">
      <c r="D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 ht="12.75" customHeight="1">
      <c r="D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 ht="12.75" customHeight="1">
      <c r="D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 ht="12.75" customHeight="1">
      <c r="D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 ht="12.75" customHeight="1">
      <c r="D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 ht="12.75" customHeight="1">
      <c r="D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 ht="12.75" customHeight="1">
      <c r="D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 ht="12.75" customHeight="1">
      <c r="D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 ht="12.75" customHeight="1">
      <c r="D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 ht="12.75" customHeight="1">
      <c r="D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 ht="12.75" customHeight="1">
      <c r="D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 ht="12.75" customHeight="1">
      <c r="D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 ht="12.75" customHeight="1">
      <c r="D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 ht="12.75" customHeight="1">
      <c r="D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 ht="12.75" customHeight="1">
      <c r="D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 ht="12.75" customHeight="1">
      <c r="D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 ht="12.75" customHeight="1">
      <c r="D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 ht="12.75" customHeight="1">
      <c r="D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 ht="12.75" customHeight="1">
      <c r="D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 ht="12.75" customHeight="1">
      <c r="D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 ht="12.75" customHeight="1">
      <c r="D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 ht="12.75" customHeight="1">
      <c r="D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 ht="12.75" customHeight="1">
      <c r="D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 ht="12.75" customHeight="1">
      <c r="D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 ht="12.75" customHeight="1">
      <c r="D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 ht="12.75" customHeight="1">
      <c r="D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 ht="12.75" customHeight="1">
      <c r="D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 ht="12.75" customHeight="1">
      <c r="D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 ht="12.75" customHeight="1">
      <c r="D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 ht="12.75" customHeight="1">
      <c r="D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 ht="12.75" customHeight="1">
      <c r="D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 ht="12.75" customHeight="1">
      <c r="D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 ht="12.75" customHeight="1">
      <c r="D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 ht="12.75" customHeight="1">
      <c r="D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 ht="12.75" customHeight="1">
      <c r="D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 ht="12.75" customHeight="1">
      <c r="D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 ht="12.75" customHeight="1">
      <c r="D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 ht="12.75" customHeight="1">
      <c r="D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 ht="12.75" customHeight="1">
      <c r="D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 ht="12.75" customHeight="1">
      <c r="D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 ht="12.75" customHeight="1">
      <c r="D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 ht="12.75" customHeight="1">
      <c r="D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 ht="12.75" customHeight="1">
      <c r="D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 ht="12.75" customHeight="1">
      <c r="D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 ht="12.75" customHeight="1">
      <c r="D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 ht="12.75" customHeight="1">
      <c r="D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 ht="12.75" customHeight="1">
      <c r="D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 ht="12.75" customHeight="1">
      <c r="D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 ht="12.75" customHeight="1">
      <c r="D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 ht="12.75" customHeight="1">
      <c r="D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 ht="12.75" customHeight="1">
      <c r="D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 ht="12.75" customHeight="1">
      <c r="D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 ht="12.75" customHeight="1">
      <c r="D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 ht="12.75" customHeight="1">
      <c r="D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 ht="12.75" customHeight="1">
      <c r="D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 ht="12.75" customHeight="1">
      <c r="D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 ht="12.75" customHeight="1">
      <c r="D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 ht="12.75" customHeight="1">
      <c r="D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 ht="12.75" customHeight="1">
      <c r="D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 ht="12.75" customHeight="1">
      <c r="D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 ht="12.75" customHeight="1">
      <c r="D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 ht="12.75" customHeight="1">
      <c r="D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 ht="12.75" customHeight="1">
      <c r="D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 ht="12.75" customHeight="1">
      <c r="D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 ht="12.75" customHeight="1">
      <c r="D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 ht="12.75" customHeight="1">
      <c r="D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 ht="12.75" customHeight="1">
      <c r="D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 ht="12.75" customHeight="1">
      <c r="D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 ht="12.75" customHeight="1">
      <c r="D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 ht="12.75" customHeight="1">
      <c r="D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 ht="12.75" customHeight="1">
      <c r="D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 ht="12.75" customHeight="1">
      <c r="D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 ht="12.75" customHeight="1">
      <c r="D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 ht="12.75" customHeight="1">
      <c r="D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 ht="12.75" customHeight="1">
      <c r="D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 ht="12.75" customHeight="1">
      <c r="D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 ht="12.75" customHeight="1">
      <c r="D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 ht="12.75" customHeight="1">
      <c r="D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 ht="12.75" customHeight="1">
      <c r="D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 ht="12.75" customHeight="1">
      <c r="D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 ht="12.75" customHeight="1">
      <c r="D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 ht="12.75" customHeight="1">
      <c r="D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 ht="12.75" customHeight="1">
      <c r="D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 ht="12.75" customHeight="1">
      <c r="D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 ht="12.75" customHeight="1">
      <c r="D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 ht="12.75" customHeight="1">
      <c r="D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 ht="12.75" customHeight="1">
      <c r="D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 ht="12.75" customHeight="1">
      <c r="D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 ht="12.75" customHeight="1">
      <c r="D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 ht="12.75" customHeight="1">
      <c r="D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 ht="12.75" customHeight="1">
      <c r="D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 ht="12.75" customHeight="1">
      <c r="D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 ht="12.75" customHeight="1">
      <c r="D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 ht="12.75" customHeight="1">
      <c r="D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 ht="12.75" customHeight="1">
      <c r="D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 ht="12.75" customHeight="1">
      <c r="D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 ht="12.75" customHeight="1">
      <c r="D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 ht="12.75" customHeight="1">
      <c r="D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 ht="12.75" customHeight="1">
      <c r="D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 ht="12.75" customHeight="1">
      <c r="D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 ht="12.75" customHeight="1">
      <c r="D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 ht="12.75" customHeight="1">
      <c r="D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 ht="12.75" customHeight="1">
      <c r="D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 ht="12.75" customHeight="1">
      <c r="D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 ht="12.75" customHeight="1">
      <c r="D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 ht="12.75" customHeight="1">
      <c r="D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 ht="12.75" customHeight="1">
      <c r="D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 ht="12.75" customHeight="1">
      <c r="D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 ht="12.75" customHeight="1">
      <c r="D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 ht="12.75" customHeight="1">
      <c r="D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 ht="12.75" customHeight="1">
      <c r="D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 ht="12.75" customHeight="1">
      <c r="D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 ht="12.75" customHeight="1">
      <c r="D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 ht="12.75" customHeight="1">
      <c r="D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 ht="12.75" customHeight="1">
      <c r="D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 ht="12.75" customHeight="1">
      <c r="D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 ht="12.75" customHeight="1">
      <c r="D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 ht="12.75" customHeight="1">
      <c r="D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 ht="12.75" customHeight="1">
      <c r="D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 ht="12.75" customHeight="1">
      <c r="D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 ht="12.75" customHeight="1">
      <c r="D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 ht="12.75" customHeight="1">
      <c r="D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 ht="12.75" customHeight="1">
      <c r="D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 ht="12.75" customHeight="1">
      <c r="D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 ht="12.75" customHeight="1">
      <c r="D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 ht="12.75" customHeight="1">
      <c r="D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 ht="12.75" customHeight="1">
      <c r="D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 ht="12.75" customHeight="1">
      <c r="D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 ht="12.75" customHeight="1">
      <c r="D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 ht="12.75" customHeight="1">
      <c r="D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 ht="12.75" customHeight="1">
      <c r="D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 ht="12.75" customHeight="1">
      <c r="D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 ht="12.75" customHeight="1">
      <c r="D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 ht="12.75" customHeight="1">
      <c r="D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 ht="12.75" customHeight="1">
      <c r="D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 ht="12.75" customHeight="1">
      <c r="D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 ht="12.75" customHeight="1">
      <c r="D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 ht="12.75" customHeight="1">
      <c r="D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 ht="12.75" customHeight="1">
      <c r="D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 ht="12.75" customHeight="1">
      <c r="D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 ht="12.75" customHeight="1">
      <c r="D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 ht="12.75" customHeight="1">
      <c r="D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 ht="12.75" customHeight="1">
      <c r="D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 ht="12.75" customHeight="1">
      <c r="D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 ht="12.75" customHeight="1">
      <c r="D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 ht="12.75" customHeight="1">
      <c r="D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 ht="12.75" customHeight="1">
      <c r="D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 ht="12.75" customHeight="1">
      <c r="D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 ht="12.75" customHeight="1">
      <c r="D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 ht="12.75" customHeight="1">
      <c r="D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 ht="12.75" customHeight="1">
      <c r="D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 ht="12.75" customHeight="1">
      <c r="D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 ht="12.75" customHeight="1">
      <c r="D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 ht="12.75" customHeight="1">
      <c r="D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 ht="12.75" customHeight="1">
      <c r="D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 ht="12.75" customHeight="1">
      <c r="D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 ht="12.75" customHeight="1">
      <c r="D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 ht="12.75" customHeight="1">
      <c r="D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 ht="12.75" customHeight="1">
      <c r="D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 ht="12.75" customHeight="1">
      <c r="D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 ht="12.75" customHeight="1">
      <c r="D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 ht="12.75" customHeight="1">
      <c r="D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 ht="12.75" customHeight="1">
      <c r="D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 ht="12.75" customHeight="1">
      <c r="D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 ht="12.75" customHeight="1">
      <c r="D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 ht="12.75" customHeight="1">
      <c r="D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 ht="12.75" customHeight="1">
      <c r="D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 ht="12.75" customHeight="1">
      <c r="D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 ht="12.75" customHeight="1">
      <c r="D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 ht="12.75" customHeight="1">
      <c r="D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 ht="12.75" customHeight="1">
      <c r="D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 ht="12.75" customHeight="1">
      <c r="D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 ht="12.75" customHeight="1">
      <c r="D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 ht="12.75" customHeight="1">
      <c r="D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 ht="12.75" customHeight="1">
      <c r="D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 ht="12.75" customHeight="1">
      <c r="D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 ht="12.75" customHeight="1">
      <c r="D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 ht="12.75" customHeight="1">
      <c r="D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 ht="12.75" customHeight="1">
      <c r="D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 ht="12.75" customHeight="1">
      <c r="D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 ht="12.75" customHeight="1">
      <c r="D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 ht="12.75" customHeight="1">
      <c r="D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 ht="12.75" customHeight="1">
      <c r="D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 ht="12.75" customHeight="1">
      <c r="D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 ht="12.75" customHeight="1">
      <c r="D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 ht="12.75" customHeight="1">
      <c r="D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 ht="12.75" customHeight="1">
      <c r="D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 ht="12.75" customHeight="1">
      <c r="D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 ht="12.75" customHeight="1">
      <c r="D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 ht="12.75" customHeight="1">
      <c r="D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 ht="12.75" customHeight="1">
      <c r="D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 ht="12.75" customHeight="1">
      <c r="D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 ht="12.75" customHeight="1">
      <c r="D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 ht="12.75" customHeight="1">
      <c r="D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 ht="12.75" customHeight="1">
      <c r="D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 ht="12.75" customHeight="1">
      <c r="D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 ht="12.75" customHeight="1">
      <c r="D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 ht="12.75" customHeight="1">
      <c r="D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 ht="12.75" customHeight="1">
      <c r="D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 ht="12.75" customHeight="1">
      <c r="D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 ht="12.75" customHeight="1">
      <c r="D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 ht="12.75" customHeight="1">
      <c r="D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 ht="12.75" customHeight="1">
      <c r="D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 ht="12.75" customHeight="1">
      <c r="D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 ht="12.75" customHeight="1">
      <c r="D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 ht="12.75" customHeight="1">
      <c r="D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 ht="12.75" customHeight="1">
      <c r="D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 ht="12.75" customHeight="1">
      <c r="D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 ht="12.75" customHeight="1">
      <c r="D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 ht="12.75" customHeight="1">
      <c r="D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 ht="12.75" customHeight="1">
      <c r="D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 ht="12.75" customHeight="1">
      <c r="D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 ht="12.75" customHeight="1">
      <c r="D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 ht="12.75" customHeight="1">
      <c r="D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 ht="12.75" customHeight="1">
      <c r="D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 ht="12.75" customHeight="1">
      <c r="D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 ht="12.75" customHeight="1">
      <c r="D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 ht="12.75" customHeight="1">
      <c r="D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 ht="12.75" customHeight="1">
      <c r="D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 ht="12.75" customHeight="1">
      <c r="D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 ht="12.75" customHeight="1">
      <c r="D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 ht="12.75" customHeight="1">
      <c r="D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 ht="12.75" customHeight="1">
      <c r="D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 ht="12.75" customHeight="1">
      <c r="D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 ht="12.75" customHeight="1">
      <c r="D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 ht="12.75" customHeight="1">
      <c r="D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 ht="12.75" customHeight="1">
      <c r="D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 ht="12.75" customHeight="1">
      <c r="D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 ht="12.75" customHeight="1">
      <c r="D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 ht="12.75" customHeight="1">
      <c r="D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 ht="12.75" customHeight="1">
      <c r="D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 ht="12.75" customHeight="1">
      <c r="D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 ht="12.75" customHeight="1">
      <c r="D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 ht="12.75" customHeight="1">
      <c r="D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 ht="12.75" customHeight="1">
      <c r="D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 ht="12.75" customHeight="1">
      <c r="D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 ht="12.75" customHeight="1">
      <c r="D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 ht="12.75" customHeight="1">
      <c r="D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 ht="12.75" customHeight="1">
      <c r="D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 ht="12.75" customHeight="1">
      <c r="D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 ht="12.75" customHeight="1">
      <c r="D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 ht="12.75" customHeight="1">
      <c r="D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 ht="12.75" customHeight="1">
      <c r="D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 ht="12.75" customHeight="1">
      <c r="D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 ht="12.75" customHeight="1">
      <c r="D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 ht="12.75" customHeight="1">
      <c r="D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 ht="12.75" customHeight="1">
      <c r="D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 ht="12.75" customHeight="1">
      <c r="D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 ht="12.75" customHeight="1">
      <c r="D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 ht="12.75" customHeight="1">
      <c r="D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 ht="12.75" customHeight="1">
      <c r="D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 ht="12.75" customHeight="1">
      <c r="D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 ht="12.75" customHeight="1">
      <c r="D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 ht="12.75" customHeight="1">
      <c r="D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 ht="12.75" customHeight="1">
      <c r="D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 ht="12.75" customHeight="1">
      <c r="D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 ht="12.75" customHeight="1">
      <c r="D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 ht="12.75" customHeight="1">
      <c r="D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 ht="12.75" customHeight="1">
      <c r="D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 ht="12.75" customHeight="1">
      <c r="D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 ht="12.75" customHeight="1">
      <c r="D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 ht="12.75" customHeight="1">
      <c r="D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 ht="12.75" customHeight="1">
      <c r="D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 ht="12.75" customHeight="1">
      <c r="D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 ht="12.75" customHeight="1">
      <c r="D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 ht="12.75" customHeight="1">
      <c r="D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 ht="12.75" customHeight="1">
      <c r="D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 ht="12.75" customHeight="1">
      <c r="D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 ht="12.75" customHeight="1">
      <c r="D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 ht="12.75" customHeight="1">
      <c r="D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 ht="12.75" customHeight="1">
      <c r="D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 ht="12.75" customHeight="1">
      <c r="D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 ht="12.75" customHeight="1">
      <c r="D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 ht="12.75" customHeight="1">
      <c r="D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 ht="12.75" customHeight="1">
      <c r="D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 ht="12.75" customHeight="1">
      <c r="D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 ht="12.75" customHeight="1">
      <c r="D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 ht="12.75" customHeight="1">
      <c r="D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 ht="12.75" customHeight="1">
      <c r="D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 ht="12.75" customHeight="1">
      <c r="D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 ht="12.75" customHeight="1">
      <c r="D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 ht="12.75" customHeight="1">
      <c r="D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 ht="12.75" customHeight="1">
      <c r="D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 ht="12.75" customHeight="1">
      <c r="D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 ht="12.75" customHeight="1">
      <c r="D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 ht="12.75" customHeight="1">
      <c r="D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 ht="12.75" customHeight="1">
      <c r="D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 ht="12.75" customHeight="1">
      <c r="D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 ht="12.75" customHeight="1">
      <c r="D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 ht="12.75" customHeight="1">
      <c r="D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 ht="12.75" customHeight="1">
      <c r="D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 ht="12.75" customHeight="1">
      <c r="D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 ht="12.75" customHeight="1">
      <c r="D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 ht="12.75" customHeight="1">
      <c r="D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 ht="12.75" customHeight="1">
      <c r="D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 ht="12.75" customHeight="1">
      <c r="D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 ht="12.75" customHeight="1">
      <c r="D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 ht="12.75" customHeight="1">
      <c r="D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 ht="12.75" customHeight="1">
      <c r="D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 ht="12.75" customHeight="1">
      <c r="D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 ht="12.75" customHeight="1">
      <c r="D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 ht="12.75" customHeight="1">
      <c r="D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 ht="12.75" customHeight="1">
      <c r="D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 ht="12.75" customHeight="1">
      <c r="D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 ht="12.75" customHeight="1">
      <c r="D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 ht="12.75" customHeight="1">
      <c r="D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 ht="12.75" customHeight="1">
      <c r="D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 ht="12.75" customHeight="1">
      <c r="D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 ht="12.75" customHeight="1">
      <c r="D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 ht="12.75" customHeight="1">
      <c r="D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 ht="12.75" customHeight="1">
      <c r="D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 ht="12.75" customHeight="1">
      <c r="D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 ht="12.75" customHeight="1">
      <c r="D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 ht="12.75" customHeight="1">
      <c r="D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 ht="12.75" customHeight="1">
      <c r="D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 ht="12.75" customHeight="1">
      <c r="D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 ht="12.75" customHeight="1">
      <c r="D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 ht="12.75" customHeight="1">
      <c r="D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 ht="12.75" customHeight="1">
      <c r="D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 ht="12.75" customHeight="1">
      <c r="D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 ht="12.75" customHeight="1">
      <c r="D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 ht="12.75" customHeight="1">
      <c r="D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 ht="12.75" customHeight="1">
      <c r="D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 ht="12.75" customHeight="1">
      <c r="D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 ht="12.75" customHeight="1">
      <c r="D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 ht="12.75" customHeight="1">
      <c r="D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 ht="12.75" customHeight="1">
      <c r="D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 ht="12.75" customHeight="1">
      <c r="D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 ht="12.75" customHeight="1">
      <c r="D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 ht="12.75" customHeight="1">
      <c r="D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 ht="12.75" customHeight="1">
      <c r="D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 ht="12.75" customHeight="1">
      <c r="D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 ht="12.75" customHeight="1">
      <c r="D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 ht="12.75" customHeight="1">
      <c r="D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 ht="12.75" customHeight="1">
      <c r="D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 ht="12.75" customHeight="1">
      <c r="D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 ht="12.75" customHeight="1">
      <c r="D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 ht="12.75" customHeight="1">
      <c r="D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 ht="12.75" customHeight="1">
      <c r="D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 ht="12.75" customHeight="1">
      <c r="D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 ht="12.75" customHeight="1">
      <c r="D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 ht="12.75" customHeight="1">
      <c r="D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 ht="12.75" customHeight="1">
      <c r="D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 ht="12.75" customHeight="1">
      <c r="D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 ht="12.75" customHeight="1">
      <c r="D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 ht="12.75" customHeight="1">
      <c r="D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 ht="12.75" customHeight="1">
      <c r="D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 ht="12.75" customHeight="1">
      <c r="D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 ht="12.75" customHeight="1">
      <c r="D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 ht="12.75" customHeight="1">
      <c r="D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 ht="12.75" customHeight="1">
      <c r="D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 ht="12.75" customHeight="1">
      <c r="D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 ht="12.75" customHeight="1">
      <c r="D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 ht="12.75" customHeight="1">
      <c r="D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 ht="12.75" customHeight="1">
      <c r="D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 ht="12.75" customHeight="1">
      <c r="D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 ht="12.75" customHeight="1">
      <c r="D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 ht="12.75" customHeight="1">
      <c r="D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 ht="12.75" customHeight="1">
      <c r="D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 ht="12.75" customHeight="1">
      <c r="D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 ht="12.75" customHeight="1">
      <c r="D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 ht="12.75" customHeight="1">
      <c r="D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 ht="12.75" customHeight="1">
      <c r="D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 ht="12.75" customHeight="1">
      <c r="D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 ht="12.75" customHeight="1">
      <c r="D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 ht="12.75" customHeight="1">
      <c r="D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 ht="12.75" customHeight="1">
      <c r="D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 ht="12.75" customHeight="1">
      <c r="D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 ht="12.75" customHeight="1">
      <c r="D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 ht="12.75" customHeight="1">
      <c r="D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 ht="12.75" customHeight="1">
      <c r="D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 ht="12.75" customHeight="1">
      <c r="D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 ht="12.75" customHeight="1">
      <c r="D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 ht="12.75" customHeight="1">
      <c r="D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 ht="12.75" customHeight="1">
      <c r="D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 ht="12.75" customHeight="1">
      <c r="D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 ht="12.75" customHeight="1">
      <c r="D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 ht="12.75" customHeight="1">
      <c r="D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 ht="12.75" customHeight="1">
      <c r="D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 ht="12.75" customHeight="1">
      <c r="D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 ht="12.75" customHeight="1">
      <c r="D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 ht="12.75" customHeight="1">
      <c r="D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 ht="12.75" customHeight="1">
      <c r="D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 ht="12.75" customHeight="1">
      <c r="D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 ht="12.75" customHeight="1">
      <c r="D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 ht="12.75" customHeight="1">
      <c r="D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 ht="12.75" customHeight="1">
      <c r="D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 ht="12.75" customHeight="1">
      <c r="D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 ht="12.75" customHeight="1">
      <c r="D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 ht="12.75" customHeight="1">
      <c r="D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 ht="12.75" customHeight="1">
      <c r="D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 ht="12.75" customHeight="1">
      <c r="D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 ht="12.75" customHeight="1">
      <c r="D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 ht="12.75" customHeight="1">
      <c r="D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</row>
    <row r="839" ht="12.75" customHeight="1">
      <c r="D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 ht="12.75" customHeight="1">
      <c r="D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 ht="12.75" customHeight="1">
      <c r="D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 ht="12.75" customHeight="1">
      <c r="D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 ht="12.75" customHeight="1">
      <c r="D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 ht="12.75" customHeight="1">
      <c r="D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 ht="12.75" customHeight="1">
      <c r="D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 ht="12.75" customHeight="1">
      <c r="D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 ht="12.75" customHeight="1">
      <c r="D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 ht="12.75" customHeight="1">
      <c r="D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 ht="12.75" customHeight="1">
      <c r="D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 ht="12.75" customHeight="1">
      <c r="D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 ht="12.75" customHeight="1">
      <c r="D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 ht="12.75" customHeight="1">
      <c r="D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 ht="12.75" customHeight="1">
      <c r="D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 ht="12.75" customHeight="1">
      <c r="D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 ht="12.75" customHeight="1">
      <c r="D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 ht="12.75" customHeight="1">
      <c r="D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 ht="12.75" customHeight="1">
      <c r="D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 ht="12.75" customHeight="1">
      <c r="D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 ht="12.75" customHeight="1">
      <c r="D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 ht="12.75" customHeight="1">
      <c r="D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 ht="12.75" customHeight="1">
      <c r="D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 ht="12.75" customHeight="1">
      <c r="D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 ht="12.75" customHeight="1">
      <c r="D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 ht="12.75" customHeight="1">
      <c r="D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 ht="12.75" customHeight="1">
      <c r="D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 ht="12.75" customHeight="1">
      <c r="D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 ht="12.75" customHeight="1">
      <c r="D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 ht="12.75" customHeight="1">
      <c r="D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 ht="12.75" customHeight="1">
      <c r="D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 ht="12.75" customHeight="1">
      <c r="D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</row>
    <row r="871" ht="12.75" customHeight="1">
      <c r="D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</row>
    <row r="872" ht="12.75" customHeight="1">
      <c r="D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 ht="12.75" customHeight="1">
      <c r="D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 ht="12.75" customHeight="1">
      <c r="D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</row>
    <row r="875" ht="12.75" customHeight="1">
      <c r="D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 ht="12.75" customHeight="1">
      <c r="D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</row>
    <row r="877" ht="12.75" customHeight="1">
      <c r="D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</row>
    <row r="878" ht="12.75" customHeight="1">
      <c r="D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 ht="12.75" customHeight="1">
      <c r="D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 ht="12.75" customHeight="1">
      <c r="D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</row>
    <row r="881" ht="12.75" customHeight="1">
      <c r="D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 ht="12.75" customHeight="1">
      <c r="D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</row>
    <row r="883" ht="12.75" customHeight="1">
      <c r="D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</row>
    <row r="884" ht="12.75" customHeight="1">
      <c r="D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</row>
    <row r="885" ht="12.75" customHeight="1">
      <c r="D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</row>
    <row r="886" ht="12.75" customHeight="1">
      <c r="D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 ht="12.75" customHeight="1">
      <c r="D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</row>
    <row r="888" ht="12.75" customHeight="1">
      <c r="D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 ht="12.75" customHeight="1">
      <c r="D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</row>
    <row r="890" ht="12.75" customHeight="1">
      <c r="D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 ht="12.75" customHeight="1">
      <c r="D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</row>
    <row r="892" ht="12.75" customHeight="1">
      <c r="D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 ht="12.75" customHeight="1">
      <c r="D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</row>
    <row r="894" ht="12.75" customHeight="1">
      <c r="D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</row>
    <row r="895" ht="12.75" customHeight="1">
      <c r="D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 ht="12.75" customHeight="1">
      <c r="D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</row>
    <row r="897" ht="12.75" customHeight="1">
      <c r="D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 ht="12.75" customHeight="1">
      <c r="D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</row>
    <row r="899" ht="12.75" customHeight="1">
      <c r="D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</row>
    <row r="900" ht="12.75" customHeight="1">
      <c r="D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</row>
    <row r="901" ht="12.75" customHeight="1">
      <c r="D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</row>
    <row r="902" ht="12.75" customHeight="1">
      <c r="D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 ht="12.75" customHeight="1">
      <c r="D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 ht="12.75" customHeight="1">
      <c r="D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 ht="12.75" customHeight="1">
      <c r="D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  <row r="906" ht="12.75" customHeight="1">
      <c r="D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</row>
    <row r="907" ht="12.75" customHeight="1">
      <c r="D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</row>
    <row r="908" ht="12.75" customHeight="1">
      <c r="D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</row>
    <row r="909" ht="12.75" customHeight="1">
      <c r="D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</row>
    <row r="910" ht="12.75" customHeight="1">
      <c r="D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</row>
    <row r="911" ht="12.75" customHeight="1">
      <c r="D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</row>
    <row r="912" ht="12.75" customHeight="1">
      <c r="D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</row>
    <row r="913" ht="12.75" customHeight="1">
      <c r="D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</row>
    <row r="914" ht="12.75" customHeight="1">
      <c r="D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</row>
    <row r="915" ht="12.75" customHeight="1">
      <c r="D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</row>
    <row r="916" ht="12.75" customHeight="1">
      <c r="D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</row>
    <row r="917" ht="12.75" customHeight="1">
      <c r="D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</row>
    <row r="918" ht="12.75" customHeight="1">
      <c r="D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</row>
    <row r="919" ht="12.75" customHeight="1">
      <c r="D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</row>
    <row r="920" ht="12.75" customHeight="1">
      <c r="D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</row>
    <row r="921" ht="12.75" customHeight="1">
      <c r="D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</row>
    <row r="922" ht="12.75" customHeight="1">
      <c r="D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</row>
    <row r="923" ht="12.75" customHeight="1">
      <c r="D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</row>
    <row r="924" ht="12.75" customHeight="1">
      <c r="D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</row>
    <row r="925" ht="12.75" customHeight="1">
      <c r="D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</row>
    <row r="926" ht="12.75" customHeight="1">
      <c r="D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</row>
    <row r="927" ht="12.75" customHeight="1">
      <c r="D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</row>
    <row r="928" ht="12.75" customHeight="1">
      <c r="D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</row>
    <row r="929" ht="12.75" customHeight="1">
      <c r="D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</row>
    <row r="930" ht="12.75" customHeight="1">
      <c r="D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</row>
    <row r="931" ht="12.75" customHeight="1">
      <c r="D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</row>
    <row r="932" ht="12.75" customHeight="1">
      <c r="D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</row>
    <row r="933" ht="12.75" customHeight="1">
      <c r="D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</row>
    <row r="934" ht="12.75" customHeight="1">
      <c r="D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</row>
    <row r="935" ht="12.75" customHeight="1">
      <c r="D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</row>
    <row r="936" ht="12.75" customHeight="1">
      <c r="D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</row>
    <row r="937" ht="12.75" customHeight="1">
      <c r="D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</row>
    <row r="938" ht="12.75" customHeight="1">
      <c r="D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</row>
    <row r="939" ht="12.75" customHeight="1">
      <c r="D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</row>
    <row r="940" ht="12.75" customHeight="1">
      <c r="D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</row>
    <row r="941" ht="12.75" customHeight="1">
      <c r="D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</row>
    <row r="942" ht="12.75" customHeight="1">
      <c r="D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</row>
    <row r="943" ht="12.75" customHeight="1">
      <c r="D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</row>
    <row r="944" ht="12.75" customHeight="1">
      <c r="D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</row>
    <row r="945" ht="12.75" customHeight="1">
      <c r="D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</row>
    <row r="946" ht="12.75" customHeight="1">
      <c r="D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</row>
    <row r="947" ht="12.75" customHeight="1">
      <c r="D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</row>
    <row r="948" ht="12.75" customHeight="1">
      <c r="D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</row>
    <row r="949" ht="12.75" customHeight="1">
      <c r="D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</row>
    <row r="950" ht="12.75" customHeight="1">
      <c r="D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</row>
    <row r="951" ht="12.75" customHeight="1">
      <c r="D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</row>
    <row r="952" ht="12.75" customHeight="1">
      <c r="D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</row>
    <row r="953" ht="12.75" customHeight="1">
      <c r="D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</row>
    <row r="954" ht="12.75" customHeight="1">
      <c r="D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</row>
    <row r="955" ht="12.75" customHeight="1">
      <c r="D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</row>
    <row r="956" ht="12.75" customHeight="1">
      <c r="D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</row>
    <row r="957" ht="12.75" customHeight="1">
      <c r="D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</row>
    <row r="958" ht="12.75" customHeight="1">
      <c r="D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</row>
    <row r="959" ht="12.75" customHeight="1">
      <c r="D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</row>
    <row r="960" ht="12.75" customHeight="1">
      <c r="D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</row>
    <row r="961" ht="12.75" customHeight="1">
      <c r="D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</row>
    <row r="962" ht="12.75" customHeight="1">
      <c r="D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</row>
    <row r="963" ht="12.75" customHeight="1">
      <c r="D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</row>
    <row r="964" ht="12.75" customHeight="1">
      <c r="D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</row>
    <row r="965" ht="12.75" customHeight="1">
      <c r="D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</row>
    <row r="966" ht="12.75" customHeight="1">
      <c r="D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</row>
    <row r="967" ht="12.75" customHeight="1">
      <c r="D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</row>
    <row r="968" ht="12.75" customHeight="1">
      <c r="D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</row>
    <row r="969" ht="12.75" customHeight="1">
      <c r="D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</row>
    <row r="970" ht="12.75" customHeight="1">
      <c r="D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</row>
    <row r="971" ht="12.75" customHeight="1">
      <c r="D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</row>
    <row r="972" ht="12.75" customHeight="1">
      <c r="D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</row>
    <row r="973" ht="12.75" customHeight="1">
      <c r="D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</row>
    <row r="974" ht="12.75" customHeight="1">
      <c r="D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</row>
    <row r="975" ht="12.75" customHeight="1">
      <c r="D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</row>
    <row r="976" ht="12.75" customHeight="1">
      <c r="D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</row>
    <row r="977" ht="12.75" customHeight="1">
      <c r="D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</row>
    <row r="978" ht="12.75" customHeight="1">
      <c r="D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</row>
    <row r="979" ht="12.75" customHeight="1">
      <c r="D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</row>
    <row r="980" ht="12.75" customHeight="1">
      <c r="D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</row>
    <row r="981" ht="12.75" customHeight="1">
      <c r="D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</row>
    <row r="982" ht="12.75" customHeight="1">
      <c r="D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</row>
    <row r="983" ht="12.75" customHeight="1">
      <c r="D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</row>
    <row r="984" ht="12.75" customHeight="1">
      <c r="D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</row>
    <row r="985" ht="12.75" customHeight="1">
      <c r="D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</row>
    <row r="986" ht="12.75" customHeight="1">
      <c r="D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</row>
    <row r="987" ht="12.75" customHeight="1">
      <c r="D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</row>
    <row r="988" ht="12.75" customHeight="1">
      <c r="D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</row>
    <row r="989" ht="12.75" customHeight="1">
      <c r="D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</row>
    <row r="990" ht="12.75" customHeight="1">
      <c r="D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</row>
    <row r="991" ht="12.75" customHeight="1">
      <c r="D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</row>
    <row r="992" ht="12.75" customHeight="1">
      <c r="D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</row>
    <row r="993" ht="12.75" customHeight="1">
      <c r="D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</row>
    <row r="994" ht="12.75" customHeight="1">
      <c r="D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</row>
    <row r="995" ht="12.75" customHeight="1">
      <c r="D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</row>
    <row r="996" ht="12.75" customHeight="1">
      <c r="D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</row>
    <row r="997" ht="12.75" customHeight="1">
      <c r="D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</row>
    <row r="998" ht="12.75" customHeight="1">
      <c r="D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</row>
    <row r="999" ht="12.75" customHeight="1">
      <c r="D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</row>
    <row r="1000" ht="12.75" customHeight="1">
      <c r="D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</row>
  </sheetData>
  <mergeCells count="3">
    <mergeCell ref="D3:H3"/>
    <mergeCell ref="D4:H4"/>
    <mergeCell ref="D5:H5"/>
  </mergeCells>
  <conditionalFormatting sqref="E22:E65 L22:AF65 C26:D65 F26:F67 G26:K65">
    <cfRule type="expression" dxfId="0" priority="1" stopIfTrue="1">
      <formula>$F18="Done"</formula>
    </cfRule>
  </conditionalFormatting>
  <conditionalFormatting sqref="E22:E65 L22:AF65 C26:D65 F26:F67 G26:K65">
    <cfRule type="expression" dxfId="1" priority="2" stopIfTrue="1">
      <formula>$F18="Ongoing"</formula>
    </cfRule>
  </conditionalFormatting>
  <conditionalFormatting sqref="B22:E65 F22:F67 G22:AF65">
    <cfRule type="expression" dxfId="0" priority="3" stopIfTrue="1">
      <formula>$F22="Terminado"</formula>
    </cfRule>
  </conditionalFormatting>
  <conditionalFormatting sqref="B22:E65 F22:F67 G22:AF65">
    <cfRule type="expression" dxfId="1" priority="4" stopIfTrue="1">
      <formula>$F22="En Progreso"</formula>
    </cfRule>
  </conditionalFormatting>
  <dataValidations>
    <dataValidation type="list" allowBlank="1" sqref="F10:F15 F22:F71">
      <formula1>"Por Hacer,En Progreso,Terminado"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25"/>
    <col customWidth="1" min="2" max="2" width="9.13"/>
    <col customWidth="1" min="3" max="3" width="38.38"/>
    <col customWidth="1" min="4" max="4" width="10.75"/>
    <col customWidth="1" min="5" max="5" width="13.75"/>
    <col customWidth="1" min="6" max="6" width="10.88"/>
    <col customWidth="1" min="7" max="7" width="9.63"/>
    <col customWidth="1" min="8" max="32" width="4.38"/>
    <col customWidth="1" min="33" max="33" width="9.13"/>
  </cols>
  <sheetData>
    <row r="1" ht="12.75" customHeight="1">
      <c r="D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ht="10.5" customHeight="1">
      <c r="B2" s="2"/>
      <c r="C2" s="3"/>
      <c r="D2" s="4"/>
      <c r="E2" s="5"/>
      <c r="F2" s="5"/>
      <c r="G2" s="5"/>
      <c r="H2" s="5"/>
      <c r="I2" s="4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4"/>
      <c r="W2" s="5"/>
      <c r="X2" s="5"/>
      <c r="Y2" s="5"/>
      <c r="Z2" s="5"/>
      <c r="AA2" s="5"/>
      <c r="AB2" s="5"/>
      <c r="AC2" s="5"/>
      <c r="AD2" s="5"/>
      <c r="AE2" s="5"/>
      <c r="AF2" s="6"/>
    </row>
    <row r="3" ht="15.0" customHeight="1">
      <c r="B3" s="7"/>
      <c r="C3" s="8" t="s">
        <v>0</v>
      </c>
      <c r="D3" s="9" t="s">
        <v>1</v>
      </c>
      <c r="E3" s="10"/>
      <c r="F3" s="10"/>
      <c r="G3" s="10"/>
      <c r="H3" s="11"/>
      <c r="I3" s="12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2"/>
      <c r="W3" s="13"/>
      <c r="X3" s="13"/>
      <c r="Y3" s="13"/>
      <c r="Z3" s="13"/>
      <c r="AA3" s="13"/>
      <c r="AB3" s="13"/>
      <c r="AC3" s="13"/>
      <c r="AD3" s="13"/>
      <c r="AE3" s="13"/>
      <c r="AF3" s="14"/>
    </row>
    <row r="4" ht="15.0" customHeight="1">
      <c r="B4" s="7"/>
      <c r="C4" s="8" t="s">
        <v>2</v>
      </c>
      <c r="D4" s="15"/>
      <c r="E4" s="10"/>
      <c r="F4" s="10"/>
      <c r="G4" s="10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2"/>
      <c r="W4" s="13"/>
      <c r="X4" s="13"/>
      <c r="Y4" s="13"/>
      <c r="Z4" s="13"/>
      <c r="AA4" s="13"/>
      <c r="AB4" s="13"/>
      <c r="AC4" s="13"/>
      <c r="AD4" s="13"/>
      <c r="AE4" s="13"/>
      <c r="AF4" s="14"/>
    </row>
    <row r="5" ht="15.0" customHeight="1">
      <c r="B5" s="7"/>
      <c r="C5" s="8" t="s">
        <v>3</v>
      </c>
      <c r="D5" s="15"/>
      <c r="E5" s="10"/>
      <c r="F5" s="10"/>
      <c r="G5" s="10"/>
      <c r="H5" s="11"/>
      <c r="I5" s="12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2"/>
      <c r="W5" s="13"/>
      <c r="X5" s="13"/>
      <c r="Y5" s="13"/>
      <c r="Z5" s="13"/>
      <c r="AA5" s="13"/>
      <c r="AB5" s="13"/>
      <c r="AC5" s="13"/>
      <c r="AD5" s="13"/>
      <c r="AE5" s="13"/>
      <c r="AF5" s="14"/>
    </row>
    <row r="6" ht="15.0" customHeight="1">
      <c r="B6" s="16"/>
      <c r="C6" s="17"/>
      <c r="D6" s="18"/>
      <c r="E6" s="18"/>
      <c r="F6" s="18"/>
      <c r="G6" s="18"/>
      <c r="H6" s="18"/>
      <c r="I6" s="19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19"/>
      <c r="W6" s="20"/>
      <c r="X6" s="20"/>
      <c r="Y6" s="20"/>
      <c r="Z6" s="20"/>
      <c r="AA6" s="20"/>
      <c r="AB6" s="20"/>
      <c r="AC6" s="20"/>
      <c r="AD6" s="20"/>
      <c r="AE6" s="20"/>
      <c r="AF6" s="21"/>
    </row>
    <row r="7" ht="12.75" customHeight="1">
      <c r="D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ht="12.75" customHeight="1">
      <c r="C8" s="44">
        <v>3.0</v>
      </c>
      <c r="D8" s="23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</row>
    <row r="9" ht="12.75" customHeight="1">
      <c r="D9" s="1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</row>
    <row r="10" ht="12.75" customHeight="1">
      <c r="D10" s="1"/>
      <c r="F10" s="25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ht="12.75" customHeight="1">
      <c r="D11" s="1"/>
      <c r="F11" s="25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ht="12.75" customHeight="1">
      <c r="D12" s="1"/>
      <c r="F12" s="25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ht="12.75" customHeight="1">
      <c r="D13" s="1"/>
      <c r="F13" s="25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ht="12.75" customHeight="1">
      <c r="D14" s="1"/>
      <c r="F14" s="25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ht="12.75" customHeight="1">
      <c r="D15" s="1"/>
      <c r="F15" s="25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ht="12.75" customHeight="1">
      <c r="B16" s="26"/>
      <c r="C16" s="26" t="s">
        <v>4</v>
      </c>
      <c r="D16" s="27">
        <v>12.0</v>
      </c>
      <c r="E16" s="26"/>
      <c r="F16" s="28"/>
      <c r="G16" s="26" t="s">
        <v>5</v>
      </c>
      <c r="H16" s="26" t="s">
        <v>6</v>
      </c>
      <c r="I16" s="26"/>
      <c r="J16" s="26"/>
      <c r="K16" s="26"/>
      <c r="L16" s="26"/>
      <c r="M16" s="26"/>
      <c r="N16" s="26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</row>
    <row r="17" ht="12.75" customHeight="1">
      <c r="B17" s="26"/>
      <c r="C17" s="26" t="s">
        <v>7</v>
      </c>
      <c r="D17" s="27">
        <v>12.0</v>
      </c>
      <c r="E17" s="26" t="s">
        <v>8</v>
      </c>
      <c r="F17" s="26" t="s">
        <v>9</v>
      </c>
      <c r="G17" s="29">
        <f>SUM(OFFSET(G21,1,0,'Sprint 3'!TaskRows,1))</f>
        <v>56</v>
      </c>
      <c r="H17" s="29">
        <f>IF(AND(SUM(OFFSET(H21,1,0,'Sprint 3'!TaskRows,1))=0),0,SUM(OFFSET(H21,1,0,'Sprint 3'!TaskRows,1)))</f>
        <v>56</v>
      </c>
      <c r="I17" s="29">
        <f>IF(AND(SUM(OFFSET(I21,1,0,'Sprint 3'!TaskRows,1))=0),"",SUM(OFFSET(I21,1,0,'Sprint 3'!TaskRows,1)))</f>
        <v>52</v>
      </c>
      <c r="J17" s="29">
        <f>IF(AND(SUM(OFFSET(J21,1,0,'Sprint 3'!TaskRows,1))=0),"",SUM(OFFSET(J21,1,0,'Sprint 3'!TaskRows,1)))</f>
        <v>47</v>
      </c>
      <c r="K17" s="29">
        <f>IF(AND(SUM(OFFSET(K21,1,0,'Sprint 3'!TaskRows,1))=0),"",SUM(OFFSET(K21,1,0,'Sprint 3'!TaskRows,1)))</f>
        <v>46</v>
      </c>
      <c r="L17" s="29">
        <f>IF(AND(SUM(OFFSET(L21,1,0,'Sprint 3'!TaskRows,1))=0),"",SUM(OFFSET(L21,1,0,'Sprint 3'!TaskRows,1)))</f>
        <v>49</v>
      </c>
      <c r="M17" s="29">
        <f>IF(AND(SUM(OFFSET(M21,1,0,'Sprint 3'!TaskRows,1))=0),"",SUM(OFFSET(M21,1,0,'Sprint 3'!TaskRows,1)))</f>
        <v>36</v>
      </c>
      <c r="N17" s="29">
        <f>IF(AND(SUM(OFFSET(N21,1,0,'Sprint 3'!TaskRows,1))=0),"",SUM(OFFSET(N21,1,0,'Sprint 3'!TaskRows,1)))</f>
        <v>27</v>
      </c>
      <c r="O17" s="29">
        <f>IF(AND(SUM(OFFSET(O21,1,0,'Sprint 3'!TaskRows,1))=0),"",SUM(OFFSET(O21,1,0,'Sprint 3'!TaskRows,1)))</f>
        <v>25</v>
      </c>
      <c r="P17" s="29">
        <f>IF(AND(SUM(OFFSET(P21,1,0,'Sprint 3'!TaskRows,1))=0),"",SUM(OFFSET(P21,1,0,'Sprint 3'!TaskRows,1)))</f>
        <v>21</v>
      </c>
      <c r="Q17" s="29">
        <f>IF(AND(SUM(OFFSET(Q21,1,0,'Sprint 3'!TaskRows,1))=0),"",SUM(OFFSET(Q21,1,0,'Sprint 3'!TaskRows,1)))</f>
        <v>21</v>
      </c>
      <c r="R17" s="29">
        <f>IF(AND(SUM(OFFSET(R21,1,0,'Sprint 3'!TaskRows,1))=0),"",SUM(OFFSET(R21,1,0,'Sprint 3'!TaskRows,1)))</f>
        <v>21</v>
      </c>
      <c r="S17" s="29">
        <f>IF(AND(SUM(OFFSET(S21,1,0,'Sprint 3'!TaskRows,1))=0),"",SUM(OFFSET(S21,1,0,'Sprint 3'!TaskRows,1)))</f>
        <v>21</v>
      </c>
      <c r="T17" s="29" t="str">
        <f>IF(AND(SUM(OFFSET(T21,1,0,'Sprint 3'!TaskRows,1))=0),"",SUM(OFFSET(T21,1,0,'Sprint 3'!TaskRows,1)))</f>
        <v/>
      </c>
      <c r="U17" s="29" t="str">
        <f>IF(AND(SUM(OFFSET(U21,1,0,'Sprint 3'!TaskRows,1))=0),"",SUM(OFFSET(U21,1,0,'Sprint 3'!TaskRows,1)))</f>
        <v/>
      </c>
      <c r="V17" s="29" t="str">
        <f>IF(AND(SUM(OFFSET(V21,1,0,'Sprint 3'!TaskRows,1))=0),"",SUM(OFFSET(V21,1,0,'Sprint 3'!TaskRows,1)))</f>
        <v/>
      </c>
      <c r="W17" s="29" t="str">
        <f>IF(AND(SUM(OFFSET(W21,1,0,'Sprint 3'!TaskRows,1))=0),"",SUM(OFFSET(W21,1,0,'Sprint 3'!TaskRows,1)))</f>
        <v/>
      </c>
      <c r="X17" s="29" t="str">
        <f>IF(AND(SUM(OFFSET(X21,1,0,'Sprint 3'!TaskRows,1))=0),"",SUM(OFFSET(X21,1,0,'Sprint 3'!TaskRows,1)))</f>
        <v/>
      </c>
      <c r="Y17" s="29" t="str">
        <f>IF(AND(SUM(OFFSET(Y21,1,0,'Sprint 3'!TaskRows,1))=0),"",SUM(OFFSET(Y21,1,0,'Sprint 3'!TaskRows,1)))</f>
        <v/>
      </c>
      <c r="Z17" s="29" t="str">
        <f>IF(AND(SUM(OFFSET(Z21,1,0,'Sprint 3'!TaskRows,1))=0),"",SUM(OFFSET(Z21,1,0,'Sprint 3'!TaskRows,1)))</f>
        <v/>
      </c>
      <c r="AA17" s="29" t="str">
        <f>IF(AND(SUM(OFFSET(AA21,1,0,'Sprint 3'!TaskRows,1))=0),"",SUM(OFFSET(AA21,1,0,'Sprint 3'!TaskRows,1)))</f>
        <v/>
      </c>
      <c r="AB17" s="29" t="str">
        <f>IF(AND(SUM(OFFSET(AB21,1,0,'Sprint 3'!TaskRows,1))=0),"",SUM(OFFSET(AB21,1,0,'Sprint 3'!TaskRows,1)))</f>
        <v/>
      </c>
      <c r="AC17" s="29" t="str">
        <f>IF(AND(SUM(OFFSET(AC21,1,0,'Sprint 3'!TaskRows,1))=0),"",SUM(OFFSET(AC21,1,0,'Sprint 3'!TaskRows,1)))</f>
        <v/>
      </c>
      <c r="AD17" s="29" t="str">
        <f>IF(AND(SUM(OFFSET(AD21,1,0,'Sprint 3'!TaskRows,1))=0),"",SUM(OFFSET(AD21,1,0,'Sprint 3'!TaskRows,1)))</f>
        <v/>
      </c>
      <c r="AE17" s="29" t="str">
        <f>IF(AND(SUM(OFFSET(AE21,1,0,'Sprint 3'!TaskRows,1))=0),"",SUM(OFFSET(AE21,1,0,'Sprint 3'!TaskRows,1)))</f>
        <v/>
      </c>
      <c r="AF17" s="29" t="str">
        <f>IF(AND(SUM(OFFSET(AF21,1,0,'Sprint 3'!TaskRows,1))=0),"",SUM(OFFSET(AF21,1,0,'Sprint 3'!TaskRows,1)))</f>
        <v/>
      </c>
    </row>
    <row r="18" ht="12.75" hidden="1" customHeight="1">
      <c r="C18" s="25" t="s">
        <v>10</v>
      </c>
      <c r="D18" s="1">
        <f>IF(COUNTA(C22:C249)=0,1,COUNTA(C22:C249))</f>
        <v>7</v>
      </c>
      <c r="E18" s="25" t="s">
        <v>11</v>
      </c>
      <c r="F18" s="1">
        <f>IF(COUNTIF(H17:AF17,"&gt;0")=0,1,COUNTIF(H17:AF17,"&gt;0"))</f>
        <v>12</v>
      </c>
      <c r="G18" s="1"/>
      <c r="H18" s="1">
        <f>IF(H21="","",$G17-$G17/($D16-1)*(H21-1))</f>
        <v>56</v>
      </c>
      <c r="I18" s="1">
        <f>IF(I21="","",'Sprint 3'!TotalEffort-'Sprint 3'!TotalEffort/('Sprint 3'!ImplementationDays)*(I21-1))</f>
        <v>51.33333333</v>
      </c>
      <c r="J18" s="1">
        <f>IF(J21="","",'Sprint 3'!TotalEffort-'Sprint 3'!TotalEffort/('Sprint 3'!ImplementationDays)*(J21-1))</f>
        <v>46.66666667</v>
      </c>
      <c r="K18" s="1">
        <f>IF(K21="","",'Sprint 3'!TotalEffort-'Sprint 3'!TotalEffort/('Sprint 3'!ImplementationDays)*(K21-1))</f>
        <v>42</v>
      </c>
      <c r="L18" s="1">
        <f>IF(L21="","",'Sprint 3'!TotalEffort-'Sprint 3'!TotalEffort/('Sprint 3'!ImplementationDays)*(L21-1))</f>
        <v>37.33333333</v>
      </c>
      <c r="M18" s="1">
        <f>IF(M21="","",'Sprint 3'!TotalEffort-'Sprint 3'!TotalEffort/('Sprint 3'!ImplementationDays)*(M21-1))</f>
        <v>32.66666667</v>
      </c>
      <c r="N18" s="1">
        <f>IF(N21="","",'Sprint 3'!TotalEffort-'Sprint 3'!TotalEffort/('Sprint 3'!ImplementationDays)*(N21-1))</f>
        <v>28</v>
      </c>
      <c r="O18" s="1">
        <f>IF(O21="","",'Sprint 3'!TotalEffort-'Sprint 3'!TotalEffort/('Sprint 3'!ImplementationDays)*(O21-1))</f>
        <v>23.33333333</v>
      </c>
      <c r="P18" s="1">
        <f>IF(P21="","",'Sprint 3'!TotalEffort-'Sprint 3'!TotalEffort/('Sprint 3'!ImplementationDays)*(P21-1))</f>
        <v>18.66666667</v>
      </c>
      <c r="Q18" s="1">
        <f>IF(Q21="","",'Sprint 3'!TotalEffort-'Sprint 3'!TotalEffort/('Sprint 3'!ImplementationDays)*(Q21-1))</f>
        <v>14</v>
      </c>
      <c r="R18" s="1">
        <f>IF(R21="","",'Sprint 3'!TotalEffort-'Sprint 3'!TotalEffort/('Sprint 3'!ImplementationDays)*(R21-1))</f>
        <v>9.333333333</v>
      </c>
      <c r="S18" s="1">
        <f>IF(S21="","",'Sprint 3'!TotalEffort-'Sprint 3'!TotalEffort/('Sprint 3'!ImplementationDays)*(S21-1))</f>
        <v>4.666666667</v>
      </c>
      <c r="T18" s="1" t="str">
        <f>IF(T21="","",'Sprint 3'!TotalEffort-'Sprint 3'!TotalEffort/('Sprint 3'!ImplementationDays)*(T21-1))</f>
        <v/>
      </c>
      <c r="U18" s="1" t="str">
        <f>IF(U21="","",'Sprint 3'!TotalEffort-'Sprint 3'!TotalEffort/('Sprint 3'!ImplementationDays)*(U21-1))</f>
        <v/>
      </c>
      <c r="V18" s="1" t="str">
        <f>IF(V21="","",'Sprint 3'!TotalEffort-'Sprint 3'!TotalEffort/('Sprint 3'!ImplementationDays)*(V21-1))</f>
        <v/>
      </c>
      <c r="W18" s="1" t="str">
        <f>IF(W21="","",'Sprint 3'!TotalEffort-'Sprint 3'!TotalEffort/('Sprint 3'!ImplementationDays)*(W21-1))</f>
        <v/>
      </c>
      <c r="X18" s="1" t="str">
        <f>IF(X21="","",'Sprint 3'!TotalEffort-'Sprint 3'!TotalEffort/('Sprint 3'!ImplementationDays)*(X21-1))</f>
        <v/>
      </c>
      <c r="Y18" s="1" t="str">
        <f>IF(Y21="","",'Sprint 3'!TotalEffort-'Sprint 3'!TotalEffort/('Sprint 3'!ImplementationDays)*(Y21-1))</f>
        <v/>
      </c>
      <c r="Z18" s="1" t="str">
        <f>IF(Z21="","",'Sprint 3'!TotalEffort-'Sprint 3'!TotalEffort/('Sprint 3'!ImplementationDays)*(Z21-1))</f>
        <v/>
      </c>
      <c r="AA18" s="1" t="str">
        <f>IF(AA21="","",'Sprint 3'!TotalEffort-'Sprint 3'!TotalEffort/('Sprint 3'!ImplementationDays)*(AA21-1))</f>
        <v/>
      </c>
      <c r="AB18" s="1" t="str">
        <f>IF(AB21="","",'Sprint 3'!TotalEffort-'Sprint 3'!TotalEffort/('Sprint 3'!ImplementationDays)*(AB21-1))</f>
        <v/>
      </c>
      <c r="AC18" s="1" t="str">
        <f>IF(AC21="","",'Sprint 3'!TotalEffort-'Sprint 3'!TotalEffort/('Sprint 3'!ImplementationDays)*(AC21-1))</f>
        <v/>
      </c>
      <c r="AD18" s="1" t="str">
        <f>IF(AD21="","",'Sprint 3'!TotalEffort-'Sprint 3'!TotalEffort/('Sprint 3'!ImplementationDays)*(AD21-1))</f>
        <v/>
      </c>
      <c r="AE18" s="1" t="str">
        <f>IF(AE21="","",'Sprint 3'!TotalEffort-'Sprint 3'!TotalEffort/('Sprint 3'!ImplementationDays)*(AE21-1))</f>
        <v/>
      </c>
      <c r="AF18" s="1" t="str">
        <f>IF(AF21="","",'Sprint 3'!TotalEffort-'Sprint 3'!TotalEffort/('Sprint 3'!ImplementationDays)*(AF21-1))</f>
        <v/>
      </c>
    </row>
    <row r="19" ht="12.75" hidden="1" customHeight="1">
      <c r="C19" s="30" t="s">
        <v>12</v>
      </c>
      <c r="E19" s="25" t="s">
        <v>13</v>
      </c>
      <c r="F19" s="1"/>
      <c r="G19" s="1"/>
      <c r="H19" s="1">
        <f t="array" ref="H19">IF(TREND(OFFSET($H17,0,'Sprint 3'!DoneDays-'Sprint 3'!TrendDays,1,'Sprint 3'!TrendDays),OFFSET($H20,0,'Sprint 3'!DoneDays-'Sprint 3'!TrendDays,1,'Sprint 3'!TrendDays),H20)&lt;0,"",TREND(OFFSET($H17,0,'Sprint 3'!DoneDays-'Sprint 3'!TrendDays,1,'Sprint 3'!TrendDays),OFFSET($H20,0,'Sprint 3'!DoneDays-'Sprint 3'!TrendDays,1,'Sprint 3'!TrendDays),H20))</f>
        <v>55.3974359</v>
      </c>
      <c r="I19" s="1">
        <f t="array" ref="I19">IF(TREND(OFFSET($H17,0,'Sprint 3'!DoneDays-'Sprint 3'!TrendDays,1,'Sprint 3'!TrendDays),OFFSET($H20,0,'Sprint 3'!DoneDays-'Sprint 3'!TrendDays,1,'Sprint 3'!TrendDays),I20)&lt;0,"",TREND(OFFSET($H17,0,'Sprint 3'!DoneDays-'Sprint 3'!TrendDays,1,'Sprint 3'!TrendDays),OFFSET($H20,0,'Sprint 3'!DoneDays-'Sprint 3'!TrendDays,1,'Sprint 3'!TrendDays),I20))</f>
        <v>51.71911422</v>
      </c>
      <c r="J19" s="1">
        <f t="array" ref="J19">IF(TREND(OFFSET($H17,0,'Sprint 3'!DoneDays-'Sprint 3'!TrendDays,1,'Sprint 3'!TrendDays),OFFSET($H20,0,'Sprint 3'!DoneDays-'Sprint 3'!TrendDays,1,'Sprint 3'!TrendDays),J20)&lt;0,"",TREND(OFFSET($H17,0,'Sprint 3'!DoneDays-'Sprint 3'!TrendDays,1,'Sprint 3'!TrendDays),OFFSET($H20,0,'Sprint 3'!DoneDays-'Sprint 3'!TrendDays,1,'Sprint 3'!TrendDays),J20))</f>
        <v>48.04079254</v>
      </c>
      <c r="K19" s="1">
        <f t="array" ref="K19">IF(TREND(OFFSET($H17,0,'Sprint 3'!DoneDays-'Sprint 3'!TrendDays,1,'Sprint 3'!TrendDays),OFFSET($H20,0,'Sprint 3'!DoneDays-'Sprint 3'!TrendDays,1,'Sprint 3'!TrendDays),K20)&lt;0,"",TREND(OFFSET($H17,0,'Sprint 3'!DoneDays-'Sprint 3'!TrendDays,1,'Sprint 3'!TrendDays),OFFSET($H20,0,'Sprint 3'!DoneDays-'Sprint 3'!TrendDays,1,'Sprint 3'!TrendDays),K20))</f>
        <v>44.36247086</v>
      </c>
      <c r="L19" s="1">
        <f t="array" ref="L19">IF(TREND(OFFSET($H17,0,'Sprint 3'!DoneDays-'Sprint 3'!TrendDays,1,'Sprint 3'!TrendDays),OFFSET($H20,0,'Sprint 3'!DoneDays-'Sprint 3'!TrendDays,1,'Sprint 3'!TrendDays),L20)&lt;0,"",TREND(OFFSET($H17,0,'Sprint 3'!DoneDays-'Sprint 3'!TrendDays,1,'Sprint 3'!TrendDays),OFFSET($H20,0,'Sprint 3'!DoneDays-'Sprint 3'!TrendDays,1,'Sprint 3'!TrendDays),L20))</f>
        <v>40.68414918</v>
      </c>
      <c r="M19" s="1">
        <f t="array" ref="M19">IF(TREND(OFFSET($H17,0,'Sprint 3'!DoneDays-'Sprint 3'!TrendDays,1,'Sprint 3'!TrendDays),OFFSET($H20,0,'Sprint 3'!DoneDays-'Sprint 3'!TrendDays,1,'Sprint 3'!TrendDays),M20)&lt;0,"",TREND(OFFSET($H17,0,'Sprint 3'!DoneDays-'Sprint 3'!TrendDays,1,'Sprint 3'!TrendDays),OFFSET($H20,0,'Sprint 3'!DoneDays-'Sprint 3'!TrendDays,1,'Sprint 3'!TrendDays),M20))</f>
        <v>37.00582751</v>
      </c>
      <c r="N19" s="1">
        <f t="array" ref="N19">IF(TREND(OFFSET($H17,0,'Sprint 3'!DoneDays-'Sprint 3'!TrendDays,1,'Sprint 3'!TrendDays),OFFSET($H20,0,'Sprint 3'!DoneDays-'Sprint 3'!TrendDays,1,'Sprint 3'!TrendDays),N20)&lt;0,"",TREND(OFFSET($H17,0,'Sprint 3'!DoneDays-'Sprint 3'!TrendDays,1,'Sprint 3'!TrendDays),OFFSET($H20,0,'Sprint 3'!DoneDays-'Sprint 3'!TrendDays,1,'Sprint 3'!TrendDays),N20))</f>
        <v>33.32750583</v>
      </c>
      <c r="O19" s="1">
        <f t="array" ref="O19">IF(TREND(OFFSET($H17,0,'Sprint 3'!DoneDays-'Sprint 3'!TrendDays,1,'Sprint 3'!TrendDays),OFFSET($H20,0,'Sprint 3'!DoneDays-'Sprint 3'!TrendDays,1,'Sprint 3'!TrendDays),O20)&lt;0,"",TREND(OFFSET($H17,0,'Sprint 3'!DoneDays-'Sprint 3'!TrendDays,1,'Sprint 3'!TrendDays),OFFSET($H20,0,'Sprint 3'!DoneDays-'Sprint 3'!TrendDays,1,'Sprint 3'!TrendDays),O20))</f>
        <v>29.64918415</v>
      </c>
      <c r="P19" s="1">
        <f t="array" ref="P19">IF(TREND(OFFSET($H17,0,'Sprint 3'!DoneDays-'Sprint 3'!TrendDays,1,'Sprint 3'!TrendDays),OFFSET($H20,0,'Sprint 3'!DoneDays-'Sprint 3'!TrendDays,1,'Sprint 3'!TrendDays),P20)&lt;0,"",TREND(OFFSET($H17,0,'Sprint 3'!DoneDays-'Sprint 3'!TrendDays,1,'Sprint 3'!TrendDays),OFFSET($H20,0,'Sprint 3'!DoneDays-'Sprint 3'!TrendDays,1,'Sprint 3'!TrendDays),P20))</f>
        <v>25.97086247</v>
      </c>
      <c r="Q19" s="1">
        <f t="array" ref="Q19">IF(TREND(OFFSET($H17,0,'Sprint 3'!DoneDays-'Sprint 3'!TrendDays,1,'Sprint 3'!TrendDays),OFFSET($H20,0,'Sprint 3'!DoneDays-'Sprint 3'!TrendDays,1,'Sprint 3'!TrendDays),Q20)&lt;0,"",TREND(OFFSET($H17,0,'Sprint 3'!DoneDays-'Sprint 3'!TrendDays,1,'Sprint 3'!TrendDays),OFFSET($H20,0,'Sprint 3'!DoneDays-'Sprint 3'!TrendDays,1,'Sprint 3'!TrendDays),Q20))</f>
        <v>22.29254079</v>
      </c>
      <c r="R19" s="1">
        <f t="array" ref="R19">IF(TREND(OFFSET($H17,0,'Sprint 3'!DoneDays-'Sprint 3'!TrendDays,1,'Sprint 3'!TrendDays),OFFSET($H20,0,'Sprint 3'!DoneDays-'Sprint 3'!TrendDays,1,'Sprint 3'!TrendDays),R20)&lt;0,"",TREND(OFFSET($H17,0,'Sprint 3'!DoneDays-'Sprint 3'!TrendDays,1,'Sprint 3'!TrendDays),OFFSET($H20,0,'Sprint 3'!DoneDays-'Sprint 3'!TrendDays,1,'Sprint 3'!TrendDays),R20))</f>
        <v>18.61421911</v>
      </c>
      <c r="S19" s="1">
        <f t="array" ref="S19">IF(TREND(OFFSET($H17,0,'Sprint 3'!DoneDays-'Sprint 3'!TrendDays,1,'Sprint 3'!TrendDays),OFFSET($H20,0,'Sprint 3'!DoneDays-'Sprint 3'!TrendDays,1,'Sprint 3'!TrendDays),S20)&lt;0,"",TREND(OFFSET($H17,0,'Sprint 3'!DoneDays-'Sprint 3'!TrendDays,1,'Sprint 3'!TrendDays),OFFSET($H20,0,'Sprint 3'!DoneDays-'Sprint 3'!TrendDays,1,'Sprint 3'!TrendDays),S20))</f>
        <v>14.93589744</v>
      </c>
      <c r="T19" s="1">
        <f t="array" ref="T19">IF(TREND(OFFSET($H17,0,'Sprint 3'!DoneDays-'Sprint 3'!TrendDays,1,'Sprint 3'!TrendDays),OFFSET($H20,0,'Sprint 3'!DoneDays-'Sprint 3'!TrendDays,1,'Sprint 3'!TrendDays),T20)&lt;0,"",TREND(OFFSET($H17,0,'Sprint 3'!DoneDays-'Sprint 3'!TrendDays,1,'Sprint 3'!TrendDays),OFFSET($H20,0,'Sprint 3'!DoneDays-'Sprint 3'!TrendDays,1,'Sprint 3'!TrendDays),T20))</f>
        <v>11.25757576</v>
      </c>
      <c r="U19" s="1">
        <f t="array" ref="U19">IF(TREND(OFFSET($H17,0,'Sprint 3'!DoneDays-'Sprint 3'!TrendDays,1,'Sprint 3'!TrendDays),OFFSET($H20,0,'Sprint 3'!DoneDays-'Sprint 3'!TrendDays,1,'Sprint 3'!TrendDays),U20)&lt;0,"",TREND(OFFSET($H17,0,'Sprint 3'!DoneDays-'Sprint 3'!TrendDays,1,'Sprint 3'!TrendDays),OFFSET($H20,0,'Sprint 3'!DoneDays-'Sprint 3'!TrendDays,1,'Sprint 3'!TrendDays),U20))</f>
        <v>7.579254079</v>
      </c>
      <c r="V19" s="1">
        <f t="array" ref="V19">IF(TREND(OFFSET($H17,0,'Sprint 3'!DoneDays-'Sprint 3'!TrendDays,1,'Sprint 3'!TrendDays),OFFSET($H20,0,'Sprint 3'!DoneDays-'Sprint 3'!TrendDays,1,'Sprint 3'!TrendDays),V20)&lt;0,"",TREND(OFFSET($H17,0,'Sprint 3'!DoneDays-'Sprint 3'!TrendDays,1,'Sprint 3'!TrendDays),OFFSET($H20,0,'Sprint 3'!DoneDays-'Sprint 3'!TrendDays,1,'Sprint 3'!TrendDays),V20))</f>
        <v>3.900932401</v>
      </c>
      <c r="W19" s="1">
        <f t="array" ref="W19">IF(TREND(OFFSET($H17,0,'Sprint 3'!DoneDays-'Sprint 3'!TrendDays,1,'Sprint 3'!TrendDays),OFFSET($H20,0,'Sprint 3'!DoneDays-'Sprint 3'!TrendDays,1,'Sprint 3'!TrendDays),W20)&lt;0,"",TREND(OFFSET($H17,0,'Sprint 3'!DoneDays-'Sprint 3'!TrendDays,1,'Sprint 3'!TrendDays),OFFSET($H20,0,'Sprint 3'!DoneDays-'Sprint 3'!TrendDays,1,'Sprint 3'!TrendDays),W20))</f>
        <v>0.2226107226</v>
      </c>
      <c r="X19" s="1" t="str">
        <f t="array" ref="X19">IF(TREND(OFFSET($H17,0,'Sprint 3'!DoneDays-'Sprint 3'!TrendDays,1,'Sprint 3'!TrendDays),OFFSET($H20,0,'Sprint 3'!DoneDays-'Sprint 3'!TrendDays,1,'Sprint 3'!TrendDays),X20)&lt;0,"",TREND(OFFSET($H17,0,'Sprint 3'!DoneDays-'Sprint 3'!TrendDays,1,'Sprint 3'!TrendDays),OFFSET($H20,0,'Sprint 3'!DoneDays-'Sprint 3'!TrendDays,1,'Sprint 3'!TrendDays),X20))</f>
        <v/>
      </c>
      <c r="Y19" s="1" t="str">
        <f t="array" ref="Y19">IF(TREND(OFFSET($H17,0,'Sprint 3'!DoneDays-'Sprint 3'!TrendDays,1,'Sprint 3'!TrendDays),OFFSET($H20,0,'Sprint 3'!DoneDays-'Sprint 3'!TrendDays,1,'Sprint 3'!TrendDays),Y20)&lt;0,"",TREND(OFFSET($H17,0,'Sprint 3'!DoneDays-'Sprint 3'!TrendDays,1,'Sprint 3'!TrendDays),OFFSET($H20,0,'Sprint 3'!DoneDays-'Sprint 3'!TrendDays,1,'Sprint 3'!TrendDays),Y20))</f>
        <v/>
      </c>
      <c r="Z19" s="1" t="str">
        <f t="array" ref="Z19">IF(TREND(OFFSET($H17,0,'Sprint 3'!DoneDays-'Sprint 3'!TrendDays,1,'Sprint 3'!TrendDays),OFFSET($H20,0,'Sprint 3'!DoneDays-'Sprint 3'!TrendDays,1,'Sprint 3'!TrendDays),Z20)&lt;0,"",TREND(OFFSET($H17,0,'Sprint 3'!DoneDays-'Sprint 3'!TrendDays,1,'Sprint 3'!TrendDays),OFFSET($H20,0,'Sprint 3'!DoneDays-'Sprint 3'!TrendDays,1,'Sprint 3'!TrendDays),Z20))</f>
        <v/>
      </c>
      <c r="AA19" s="1" t="str">
        <f t="array" ref="AA19">IF(TREND(OFFSET($H17,0,'Sprint 3'!DoneDays-'Sprint 3'!TrendDays,1,'Sprint 3'!TrendDays),OFFSET($H20,0,'Sprint 3'!DoneDays-'Sprint 3'!TrendDays,1,'Sprint 3'!TrendDays),AA20)&lt;0,"",TREND(OFFSET($H17,0,'Sprint 3'!DoneDays-'Sprint 3'!TrendDays,1,'Sprint 3'!TrendDays),OFFSET($H20,0,'Sprint 3'!DoneDays-'Sprint 3'!TrendDays,1,'Sprint 3'!TrendDays),AA20))</f>
        <v/>
      </c>
      <c r="AB19" s="1" t="str">
        <f t="array" ref="AB19">IF(TREND(OFFSET($H17,0,'Sprint 3'!DoneDays-'Sprint 3'!TrendDays,1,'Sprint 3'!TrendDays),OFFSET($H20,0,'Sprint 3'!DoneDays-'Sprint 3'!TrendDays,1,'Sprint 3'!TrendDays),AB20)&lt;0,"",TREND(OFFSET($H17,0,'Sprint 3'!DoneDays-'Sprint 3'!TrendDays,1,'Sprint 3'!TrendDays),OFFSET($H20,0,'Sprint 3'!DoneDays-'Sprint 3'!TrendDays,1,'Sprint 3'!TrendDays),AB20))</f>
        <v/>
      </c>
      <c r="AC19" s="1" t="str">
        <f t="array" ref="AC19">IF(TREND(OFFSET($H17,0,'Sprint 3'!DoneDays-'Sprint 3'!TrendDays,1,'Sprint 3'!TrendDays),OFFSET($H20,0,'Sprint 3'!DoneDays-'Sprint 3'!TrendDays,1,'Sprint 3'!TrendDays),AC20)&lt;0,"",TREND(OFFSET($H17,0,'Sprint 3'!DoneDays-'Sprint 3'!TrendDays,1,'Sprint 3'!TrendDays),OFFSET($H20,0,'Sprint 3'!DoneDays-'Sprint 3'!TrendDays,1,'Sprint 3'!TrendDays),AC20))</f>
        <v/>
      </c>
      <c r="AD19" s="1" t="str">
        <f t="array" ref="AD19">IF(TREND(OFFSET($H17,0,'Sprint 3'!DoneDays-'Sprint 3'!TrendDays,1,'Sprint 3'!TrendDays),OFFSET($H20,0,'Sprint 3'!DoneDays-'Sprint 3'!TrendDays,1,'Sprint 3'!TrendDays),AD20)&lt;0,"",TREND(OFFSET($H17,0,'Sprint 3'!DoneDays-'Sprint 3'!TrendDays,1,'Sprint 3'!TrendDays),OFFSET($H20,0,'Sprint 3'!DoneDays-'Sprint 3'!TrendDays,1,'Sprint 3'!TrendDays),AD20))</f>
        <v/>
      </c>
      <c r="AE19" s="1" t="str">
        <f t="array" ref="AE19">IF(TREND(OFFSET($H17,0,'Sprint 3'!DoneDays-'Sprint 3'!TrendDays,1,'Sprint 3'!TrendDays),OFFSET($H20,0,'Sprint 3'!DoneDays-'Sprint 3'!TrendDays,1,'Sprint 3'!TrendDays),AE20)&lt;0,"",TREND(OFFSET($H17,0,'Sprint 3'!DoneDays-'Sprint 3'!TrendDays,1,'Sprint 3'!TrendDays),OFFSET($H20,0,'Sprint 3'!DoneDays-'Sprint 3'!TrendDays,1,'Sprint 3'!TrendDays),AE20))</f>
        <v/>
      </c>
      <c r="AF19" s="1" t="str">
        <f t="array" ref="AF19">IF(TREND(OFFSET($H17,0,'Sprint 3'!DoneDays-'Sprint 3'!TrendDays,1,'Sprint 3'!TrendDays),OFFSET($H20,0,'Sprint 3'!DoneDays-'Sprint 3'!TrendDays,1,'Sprint 3'!TrendDays),AF20)&lt;0,"",TREND(OFFSET($H17,0,'Sprint 3'!DoneDays-'Sprint 3'!TrendDays,1,'Sprint 3'!TrendDays),OFFSET($H20,0,'Sprint 3'!DoneDays-'Sprint 3'!TrendDays,1,'Sprint 3'!TrendDays),AF20))</f>
        <v/>
      </c>
    </row>
    <row r="20" ht="12.75" hidden="1" customHeight="1">
      <c r="C20" s="30" t="s">
        <v>14</v>
      </c>
      <c r="E20" s="25" t="s">
        <v>15</v>
      </c>
      <c r="F20" s="1">
        <f>IF('Sprint 3'!DoneDays&gt;D17,D17,'Sprint 3'!DoneDays)</f>
        <v>12</v>
      </c>
      <c r="G20" s="1"/>
      <c r="H20" s="1">
        <f>IF('Sprint 3'!DoneDays&gt;G20,G20+1,"")</f>
        <v>1</v>
      </c>
      <c r="I20" s="1">
        <v>2.0</v>
      </c>
      <c r="J20" s="1">
        <v>3.0</v>
      </c>
      <c r="K20" s="1">
        <v>4.0</v>
      </c>
      <c r="L20" s="1">
        <v>5.0</v>
      </c>
      <c r="M20" s="1">
        <v>6.0</v>
      </c>
      <c r="N20" s="1">
        <v>7.0</v>
      </c>
      <c r="O20" s="1">
        <v>8.0</v>
      </c>
      <c r="P20" s="1">
        <v>9.0</v>
      </c>
      <c r="Q20" s="1">
        <v>10.0</v>
      </c>
      <c r="R20" s="1">
        <v>11.0</v>
      </c>
      <c r="S20" s="1">
        <v>12.0</v>
      </c>
      <c r="T20" s="1">
        <v>13.0</v>
      </c>
      <c r="U20" s="1">
        <v>14.0</v>
      </c>
      <c r="V20" s="1">
        <v>15.0</v>
      </c>
      <c r="W20" s="1">
        <v>16.0</v>
      </c>
      <c r="X20" s="1">
        <v>17.0</v>
      </c>
      <c r="Y20" s="1">
        <v>18.0</v>
      </c>
      <c r="Z20" s="1">
        <v>19.0</v>
      </c>
      <c r="AA20" s="1">
        <v>20.0</v>
      </c>
      <c r="AB20" s="1">
        <v>21.0</v>
      </c>
      <c r="AC20" s="1">
        <v>22.0</v>
      </c>
      <c r="AD20" s="1">
        <v>23.0</v>
      </c>
      <c r="AE20" s="1">
        <v>24.0</v>
      </c>
      <c r="AF20" s="1">
        <v>25.0</v>
      </c>
    </row>
    <row r="21" ht="12.75" customHeight="1">
      <c r="B21" s="26" t="s">
        <v>16</v>
      </c>
      <c r="C21" s="31" t="s">
        <v>17</v>
      </c>
      <c r="D21" s="31" t="s">
        <v>18</v>
      </c>
      <c r="E21" s="31" t="s">
        <v>19</v>
      </c>
      <c r="F21" s="31" t="s">
        <v>20</v>
      </c>
      <c r="G21" s="31" t="s">
        <v>21</v>
      </c>
      <c r="H21" s="31">
        <v>1.0</v>
      </c>
      <c r="I21" s="31">
        <f t="shared" ref="I21:AF21" si="1">IF($D$16&gt;H21,H21+1,"")</f>
        <v>2</v>
      </c>
      <c r="J21" s="31">
        <f t="shared" si="1"/>
        <v>3</v>
      </c>
      <c r="K21" s="31">
        <f t="shared" si="1"/>
        <v>4</v>
      </c>
      <c r="L21" s="31">
        <f t="shared" si="1"/>
        <v>5</v>
      </c>
      <c r="M21" s="31">
        <f t="shared" si="1"/>
        <v>6</v>
      </c>
      <c r="N21" s="31">
        <f t="shared" si="1"/>
        <v>7</v>
      </c>
      <c r="O21" s="31">
        <f t="shared" si="1"/>
        <v>8</v>
      </c>
      <c r="P21" s="31">
        <f t="shared" si="1"/>
        <v>9</v>
      </c>
      <c r="Q21" s="31">
        <f t="shared" si="1"/>
        <v>10</v>
      </c>
      <c r="R21" s="31">
        <f t="shared" si="1"/>
        <v>11</v>
      </c>
      <c r="S21" s="31">
        <f t="shared" si="1"/>
        <v>12</v>
      </c>
      <c r="T21" s="31" t="str">
        <f t="shared" si="1"/>
        <v/>
      </c>
      <c r="U21" s="31" t="str">
        <f t="shared" si="1"/>
        <v/>
      </c>
      <c r="V21" s="31" t="str">
        <f t="shared" si="1"/>
        <v/>
      </c>
      <c r="W21" s="31" t="str">
        <f t="shared" si="1"/>
        <v/>
      </c>
      <c r="X21" s="31" t="str">
        <f t="shared" si="1"/>
        <v/>
      </c>
      <c r="Y21" s="31" t="str">
        <f t="shared" si="1"/>
        <v/>
      </c>
      <c r="Z21" s="31" t="str">
        <f t="shared" si="1"/>
        <v/>
      </c>
      <c r="AA21" s="31" t="str">
        <f t="shared" si="1"/>
        <v/>
      </c>
      <c r="AB21" s="31" t="str">
        <f t="shared" si="1"/>
        <v/>
      </c>
      <c r="AC21" s="31" t="str">
        <f t="shared" si="1"/>
        <v/>
      </c>
      <c r="AD21" s="31" t="str">
        <f t="shared" si="1"/>
        <v/>
      </c>
      <c r="AE21" s="31" t="str">
        <f t="shared" si="1"/>
        <v/>
      </c>
      <c r="AF21" s="31" t="str">
        <f t="shared" si="1"/>
        <v/>
      </c>
    </row>
    <row r="22" ht="12.75" customHeight="1">
      <c r="B22" s="45" t="s">
        <v>82</v>
      </c>
      <c r="C22" s="46" t="s">
        <v>83</v>
      </c>
      <c r="D22" s="34" t="s">
        <v>84</v>
      </c>
      <c r="E22" s="35" t="s">
        <v>25</v>
      </c>
      <c r="F22" s="36" t="s">
        <v>26</v>
      </c>
      <c r="G22" s="47">
        <v>10.0</v>
      </c>
      <c r="H22" s="1">
        <f t="shared" ref="H22:H66" si="3">IF(OR(H$21="",$G22=""),"",G22)</f>
        <v>10</v>
      </c>
      <c r="I22" s="27">
        <v>10.0</v>
      </c>
      <c r="J22" s="27">
        <v>10.0</v>
      </c>
      <c r="K22" s="1">
        <v>9.0</v>
      </c>
      <c r="L22" s="1">
        <v>7.0</v>
      </c>
      <c r="M22" s="1">
        <v>5.0</v>
      </c>
      <c r="N22" s="1">
        <v>3.0</v>
      </c>
      <c r="O22" s="1">
        <v>2.0</v>
      </c>
      <c r="P22" s="1">
        <v>1.0</v>
      </c>
      <c r="Q22" s="1">
        <v>1.0</v>
      </c>
      <c r="R22" s="1">
        <v>1.0</v>
      </c>
      <c r="S22" s="1">
        <v>1.0</v>
      </c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 t="str">
        <f t="shared" ref="AE22:AF22" si="2">IF(OR(AE$21="",$G22=""),"",AD22)</f>
        <v/>
      </c>
      <c r="AF22" s="1" t="str">
        <f t="shared" si="2"/>
        <v/>
      </c>
    </row>
    <row r="23" ht="12.75" customHeight="1">
      <c r="B23" s="45" t="s">
        <v>85</v>
      </c>
      <c r="C23" s="46" t="s">
        <v>86</v>
      </c>
      <c r="D23" s="34" t="s">
        <v>84</v>
      </c>
      <c r="E23" s="35" t="s">
        <v>25</v>
      </c>
      <c r="F23" s="36" t="s">
        <v>26</v>
      </c>
      <c r="G23" s="47">
        <v>10.0</v>
      </c>
      <c r="H23" s="1">
        <f t="shared" si="3"/>
        <v>10</v>
      </c>
      <c r="I23" s="27">
        <v>10.0</v>
      </c>
      <c r="J23" s="27">
        <v>9.0</v>
      </c>
      <c r="K23" s="27">
        <v>9.0</v>
      </c>
      <c r="L23" s="27">
        <v>8.0</v>
      </c>
      <c r="M23" s="1">
        <v>8.0</v>
      </c>
      <c r="N23" s="1">
        <v>5.0</v>
      </c>
      <c r="O23" s="1">
        <v>3.0</v>
      </c>
      <c r="P23" s="1">
        <v>2.0</v>
      </c>
      <c r="Q23" s="1">
        <v>2.0</v>
      </c>
      <c r="R23" s="1">
        <v>2.0</v>
      </c>
      <c r="S23" s="1">
        <v>2.0</v>
      </c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 t="str">
        <f t="shared" ref="AE23:AF23" si="4">IF(OR(AE$21="",$G23=""),"",AD23)</f>
        <v/>
      </c>
      <c r="AF23" s="1" t="str">
        <f t="shared" si="4"/>
        <v/>
      </c>
    </row>
    <row r="24" ht="12.75" customHeight="1">
      <c r="B24" s="45" t="s">
        <v>87</v>
      </c>
      <c r="C24" s="46" t="s">
        <v>88</v>
      </c>
      <c r="D24" s="34" t="s">
        <v>84</v>
      </c>
      <c r="E24" s="35" t="s">
        <v>31</v>
      </c>
      <c r="F24" s="36" t="s">
        <v>26</v>
      </c>
      <c r="G24" s="47">
        <v>8.0</v>
      </c>
      <c r="H24" s="1">
        <f t="shared" si="3"/>
        <v>8</v>
      </c>
      <c r="I24" s="27">
        <v>8.0</v>
      </c>
      <c r="J24" s="27">
        <v>5.0</v>
      </c>
      <c r="K24" s="27">
        <v>6.0</v>
      </c>
      <c r="L24" s="1">
        <v>6.0</v>
      </c>
      <c r="M24" s="1">
        <v>4.0</v>
      </c>
      <c r="N24" s="1">
        <v>3.0</v>
      </c>
      <c r="O24" s="1">
        <v>2.0</v>
      </c>
      <c r="P24" s="1">
        <v>1.0</v>
      </c>
      <c r="Q24" s="1">
        <v>1.0</v>
      </c>
      <c r="R24" s="1">
        <v>1.0</v>
      </c>
      <c r="S24" s="1">
        <v>1.0</v>
      </c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 t="str">
        <f t="shared" ref="AE24:AF24" si="5">IF(OR(AE$21="",$G24=""),"",AD24)</f>
        <v/>
      </c>
      <c r="AF24" s="1" t="str">
        <f t="shared" si="5"/>
        <v/>
      </c>
    </row>
    <row r="25" ht="12.75" customHeight="1">
      <c r="B25" s="45" t="s">
        <v>89</v>
      </c>
      <c r="C25" s="46" t="s">
        <v>90</v>
      </c>
      <c r="D25" s="34" t="s">
        <v>84</v>
      </c>
      <c r="E25" s="35" t="s">
        <v>36</v>
      </c>
      <c r="F25" s="25" t="s">
        <v>26</v>
      </c>
      <c r="G25" s="47">
        <v>10.0</v>
      </c>
      <c r="H25" s="1">
        <f t="shared" si="3"/>
        <v>10</v>
      </c>
      <c r="I25" s="27">
        <v>9.0</v>
      </c>
      <c r="J25" s="27">
        <v>8.0</v>
      </c>
      <c r="K25" s="27">
        <v>7.0</v>
      </c>
      <c r="L25" s="1">
        <v>10.0</v>
      </c>
      <c r="M25" s="1">
        <v>7.0</v>
      </c>
      <c r="N25" s="1">
        <v>4.0</v>
      </c>
      <c r="O25" s="1">
        <v>3.0</v>
      </c>
      <c r="P25" s="1">
        <v>2.0</v>
      </c>
      <c r="Q25" s="1">
        <v>2.0</v>
      </c>
      <c r="R25" s="1">
        <v>2.0</v>
      </c>
      <c r="S25" s="1">
        <v>2.0</v>
      </c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 t="str">
        <f t="shared" ref="AE25:AF25" si="6">IF(OR(AE$21="",$G25=""),"",AD25)</f>
        <v/>
      </c>
      <c r="AF25" s="1" t="str">
        <f t="shared" si="6"/>
        <v/>
      </c>
    </row>
    <row r="26" ht="12.75" customHeight="1">
      <c r="B26" s="45" t="s">
        <v>91</v>
      </c>
      <c r="C26" s="46" t="s">
        <v>92</v>
      </c>
      <c r="D26" s="34" t="s">
        <v>84</v>
      </c>
      <c r="E26" s="35" t="s">
        <v>42</v>
      </c>
      <c r="F26" s="36" t="s">
        <v>26</v>
      </c>
      <c r="G26" s="47">
        <v>6.0</v>
      </c>
      <c r="H26" s="1">
        <f t="shared" si="3"/>
        <v>6</v>
      </c>
      <c r="I26" s="27">
        <v>5.0</v>
      </c>
      <c r="J26" s="27">
        <v>5.0</v>
      </c>
      <c r="K26" s="27">
        <v>5.0</v>
      </c>
      <c r="L26" s="27">
        <v>6.0</v>
      </c>
      <c r="M26" s="27">
        <v>4.0</v>
      </c>
      <c r="N26" s="27">
        <v>4.0</v>
      </c>
      <c r="O26" s="27">
        <v>5.0</v>
      </c>
      <c r="P26" s="27">
        <v>5.0</v>
      </c>
      <c r="Q26" s="27">
        <v>5.0</v>
      </c>
      <c r="R26" s="27">
        <v>5.0</v>
      </c>
      <c r="S26" s="27">
        <v>5.0</v>
      </c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 t="str">
        <f t="shared" ref="AE26:AF26" si="7">IF(OR(AE$21="",$G26=""),"",AD26)</f>
        <v/>
      </c>
      <c r="AF26" s="1" t="str">
        <f t="shared" si="7"/>
        <v/>
      </c>
    </row>
    <row r="27" ht="12.75" customHeight="1">
      <c r="B27" s="42" t="s">
        <v>93</v>
      </c>
      <c r="C27" s="42" t="s">
        <v>94</v>
      </c>
      <c r="D27" s="43" t="s">
        <v>84</v>
      </c>
      <c r="E27" s="43" t="s">
        <v>47</v>
      </c>
      <c r="F27" s="36" t="s">
        <v>26</v>
      </c>
      <c r="G27" s="47">
        <v>6.0</v>
      </c>
      <c r="H27" s="1">
        <f t="shared" si="3"/>
        <v>6</v>
      </c>
      <c r="I27" s="27">
        <v>5.0</v>
      </c>
      <c r="J27" s="27">
        <v>5.0</v>
      </c>
      <c r="K27" s="27">
        <v>5.0</v>
      </c>
      <c r="L27" s="27">
        <v>6.0</v>
      </c>
      <c r="M27" s="27">
        <v>4.0</v>
      </c>
      <c r="N27" s="27">
        <v>4.0</v>
      </c>
      <c r="O27" s="27">
        <v>5.0</v>
      </c>
      <c r="P27" s="27">
        <v>5.0</v>
      </c>
      <c r="Q27" s="27">
        <v>5.0</v>
      </c>
      <c r="R27" s="27">
        <v>5.0</v>
      </c>
      <c r="S27" s="27">
        <v>5.0</v>
      </c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 t="str">
        <f t="shared" ref="AE27:AF27" si="8">IF(OR(AE$21="",$G27=""),"",AD27)</f>
        <v/>
      </c>
      <c r="AF27" s="1" t="str">
        <f t="shared" si="8"/>
        <v/>
      </c>
    </row>
    <row r="28" ht="12.75" customHeight="1">
      <c r="B28" s="42" t="s">
        <v>95</v>
      </c>
      <c r="C28" s="42" t="s">
        <v>96</v>
      </c>
      <c r="D28" s="43" t="s">
        <v>84</v>
      </c>
      <c r="E28" s="43" t="s">
        <v>25</v>
      </c>
      <c r="F28" s="36" t="s">
        <v>26</v>
      </c>
      <c r="G28" s="47">
        <v>6.0</v>
      </c>
      <c r="H28" s="1">
        <f t="shared" si="3"/>
        <v>6</v>
      </c>
      <c r="I28" s="27">
        <v>5.0</v>
      </c>
      <c r="J28" s="27">
        <v>5.0</v>
      </c>
      <c r="K28" s="27">
        <v>5.0</v>
      </c>
      <c r="L28" s="27">
        <v>6.0</v>
      </c>
      <c r="M28" s="27">
        <v>4.0</v>
      </c>
      <c r="N28" s="27">
        <v>4.0</v>
      </c>
      <c r="O28" s="27">
        <v>5.0</v>
      </c>
      <c r="P28" s="27">
        <v>5.0</v>
      </c>
      <c r="Q28" s="27">
        <v>5.0</v>
      </c>
      <c r="R28" s="27">
        <v>5.0</v>
      </c>
      <c r="S28" s="27">
        <v>5.0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 t="str">
        <f t="shared" ref="AE28:AF28" si="9">IF(OR(AE$21="",$G28=""),"",AD28)</f>
        <v/>
      </c>
      <c r="AF28" s="1" t="str">
        <f t="shared" si="9"/>
        <v/>
      </c>
    </row>
    <row r="29" ht="12.75" customHeight="1">
      <c r="D29" s="1"/>
      <c r="E29" s="1"/>
      <c r="F29" s="25" t="str">
        <f t="shared" ref="F29:F67" si="11">IF(C29&lt;&gt;"","Planned","")</f>
        <v/>
      </c>
      <c r="G29" s="1"/>
      <c r="H29" s="1" t="str">
        <f t="shared" si="3"/>
        <v/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 t="str">
        <f t="shared" ref="AE29:AF29" si="10">IF(OR(AE$21="",$G29=""),"",AD29)</f>
        <v/>
      </c>
      <c r="AF29" s="1" t="str">
        <f t="shared" si="10"/>
        <v/>
      </c>
    </row>
    <row r="30" ht="12.75" customHeight="1">
      <c r="D30" s="1"/>
      <c r="E30" s="1"/>
      <c r="F30" s="25" t="str">
        <f t="shared" si="11"/>
        <v/>
      </c>
      <c r="G30" s="1"/>
      <c r="H30" s="1" t="str">
        <f t="shared" si="3"/>
        <v/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 t="str">
        <f t="shared" ref="AE30:AF30" si="12">IF(OR(AE$21="",$G30=""),"",AD30)</f>
        <v/>
      </c>
      <c r="AF30" s="1" t="str">
        <f t="shared" si="12"/>
        <v/>
      </c>
    </row>
    <row r="31" ht="12.75" customHeight="1">
      <c r="D31" s="1"/>
      <c r="F31" s="25" t="str">
        <f t="shared" si="11"/>
        <v/>
      </c>
      <c r="G31" s="1"/>
      <c r="H31" s="1" t="str">
        <f t="shared" si="3"/>
        <v/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 t="str">
        <f t="shared" ref="AE31:AF31" si="13">IF(OR(AE$21="",$G31=""),"",AD31)</f>
        <v/>
      </c>
      <c r="AF31" s="1" t="str">
        <f t="shared" si="13"/>
        <v/>
      </c>
    </row>
    <row r="32" ht="12.75" customHeight="1">
      <c r="D32" s="1"/>
      <c r="F32" s="25" t="str">
        <f t="shared" si="11"/>
        <v/>
      </c>
      <c r="G32" s="1"/>
      <c r="H32" s="1" t="str">
        <f t="shared" si="3"/>
        <v/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 t="str">
        <f t="shared" ref="AE32:AF32" si="14">IF(OR(AE$21="",$G32=""),"",AD32)</f>
        <v/>
      </c>
      <c r="AF32" s="1" t="str">
        <f t="shared" si="14"/>
        <v/>
      </c>
    </row>
    <row r="33" ht="12.75" customHeight="1">
      <c r="D33" s="1"/>
      <c r="F33" s="25" t="str">
        <f t="shared" si="11"/>
        <v/>
      </c>
      <c r="G33" s="1"/>
      <c r="H33" s="1" t="str">
        <f t="shared" si="3"/>
        <v/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 t="str">
        <f t="shared" ref="AE33:AF33" si="15">IF(OR(AE$21="",$G33=""),"",AD33)</f>
        <v/>
      </c>
      <c r="AF33" s="1" t="str">
        <f t="shared" si="15"/>
        <v/>
      </c>
    </row>
    <row r="34" ht="12.75" customHeight="1">
      <c r="D34" s="1"/>
      <c r="F34" s="25" t="str">
        <f t="shared" si="11"/>
        <v/>
      </c>
      <c r="G34" s="1"/>
      <c r="H34" s="1" t="str">
        <f t="shared" si="3"/>
        <v/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 t="str">
        <f t="shared" ref="AE34:AF34" si="16">IF(OR(AE$21="",$G34=""),"",AD34)</f>
        <v/>
      </c>
      <c r="AF34" s="1" t="str">
        <f t="shared" si="16"/>
        <v/>
      </c>
    </row>
    <row r="35" ht="12.75" customHeight="1">
      <c r="D35" s="1"/>
      <c r="F35" s="25" t="str">
        <f t="shared" si="11"/>
        <v/>
      </c>
      <c r="G35" s="1"/>
      <c r="H35" s="1" t="str">
        <f t="shared" si="3"/>
        <v/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 t="str">
        <f t="shared" ref="AE35:AF35" si="17">IF(OR(AE$21="",$G35=""),"",AD35)</f>
        <v/>
      </c>
      <c r="AF35" s="1" t="str">
        <f t="shared" si="17"/>
        <v/>
      </c>
    </row>
    <row r="36" ht="12.75" customHeight="1">
      <c r="D36" s="1"/>
      <c r="F36" s="25" t="str">
        <f t="shared" si="11"/>
        <v/>
      </c>
      <c r="G36" s="1"/>
      <c r="H36" s="1" t="str">
        <f t="shared" si="3"/>
        <v/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 t="str">
        <f t="shared" ref="AE36:AF36" si="18">IF(OR(AE$21="",$G36=""),"",AD36)</f>
        <v/>
      </c>
      <c r="AF36" s="1" t="str">
        <f t="shared" si="18"/>
        <v/>
      </c>
    </row>
    <row r="37" ht="12.75" customHeight="1">
      <c r="D37" s="1"/>
      <c r="F37" s="25" t="str">
        <f t="shared" si="11"/>
        <v/>
      </c>
      <c r="G37" s="1"/>
      <c r="H37" s="1" t="str">
        <f t="shared" si="3"/>
        <v/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 t="str">
        <f t="shared" ref="AE37:AF37" si="19">IF(OR(AE$21="",$G37=""),"",AD37)</f>
        <v/>
      </c>
      <c r="AF37" s="1" t="str">
        <f t="shared" si="19"/>
        <v/>
      </c>
    </row>
    <row r="38" ht="12.75" customHeight="1">
      <c r="D38" s="1"/>
      <c r="F38" s="25" t="str">
        <f t="shared" si="11"/>
        <v/>
      </c>
      <c r="G38" s="1"/>
      <c r="H38" s="1" t="str">
        <f t="shared" si="3"/>
        <v/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 t="str">
        <f t="shared" ref="AE38:AF38" si="20">IF(OR(AE$21="",$G38=""),"",AD38)</f>
        <v/>
      </c>
      <c r="AF38" s="1" t="str">
        <f t="shared" si="20"/>
        <v/>
      </c>
    </row>
    <row r="39" ht="12.75" customHeight="1">
      <c r="D39" s="1"/>
      <c r="F39" s="25" t="str">
        <f t="shared" si="11"/>
        <v/>
      </c>
      <c r="G39" s="1"/>
      <c r="H39" s="1" t="str">
        <f t="shared" si="3"/>
        <v/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 t="str">
        <f t="shared" ref="AE39:AF39" si="21">IF(OR(AE$21="",$G39=""),"",AD39)</f>
        <v/>
      </c>
      <c r="AF39" s="1" t="str">
        <f t="shared" si="21"/>
        <v/>
      </c>
    </row>
    <row r="40" ht="12.75" customHeight="1">
      <c r="D40" s="1"/>
      <c r="F40" s="25" t="str">
        <f t="shared" si="11"/>
        <v/>
      </c>
      <c r="G40" s="1"/>
      <c r="H40" s="1" t="str">
        <f t="shared" si="3"/>
        <v/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 t="str">
        <f t="shared" ref="AE40:AF40" si="22">IF(OR(AE$21="",$G40=""),"",AD40)</f>
        <v/>
      </c>
      <c r="AF40" s="1" t="str">
        <f t="shared" si="22"/>
        <v/>
      </c>
    </row>
    <row r="41" ht="12.75" customHeight="1">
      <c r="D41" s="1"/>
      <c r="F41" s="25" t="str">
        <f t="shared" si="11"/>
        <v/>
      </c>
      <c r="G41" s="1"/>
      <c r="H41" s="1" t="str">
        <f t="shared" si="3"/>
        <v/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 t="str">
        <f t="shared" ref="AE41:AF41" si="23">IF(OR(AE$21="",$G41=""),"",AD41)</f>
        <v/>
      </c>
      <c r="AF41" s="1" t="str">
        <f t="shared" si="23"/>
        <v/>
      </c>
    </row>
    <row r="42" ht="12.75" customHeight="1">
      <c r="D42" s="1"/>
      <c r="F42" s="25" t="str">
        <f t="shared" si="11"/>
        <v/>
      </c>
      <c r="G42" s="1"/>
      <c r="H42" s="1" t="str">
        <f t="shared" si="3"/>
        <v/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 t="str">
        <f t="shared" ref="AE42:AF42" si="24">IF(OR(AE$21="",$G42=""),"",AD42)</f>
        <v/>
      </c>
      <c r="AF42" s="1" t="str">
        <f t="shared" si="24"/>
        <v/>
      </c>
    </row>
    <row r="43" ht="12.75" customHeight="1">
      <c r="D43" s="1"/>
      <c r="F43" s="25" t="str">
        <f t="shared" si="11"/>
        <v/>
      </c>
      <c r="G43" s="1"/>
      <c r="H43" s="1" t="str">
        <f t="shared" si="3"/>
        <v/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 t="str">
        <f t="shared" ref="AE43:AF43" si="25">IF(OR(AE$21="",$G43=""),"",AD43)</f>
        <v/>
      </c>
      <c r="AF43" s="1" t="str">
        <f t="shared" si="25"/>
        <v/>
      </c>
    </row>
    <row r="44" ht="12.75" customHeight="1">
      <c r="D44" s="1"/>
      <c r="F44" s="25" t="str">
        <f t="shared" si="11"/>
        <v/>
      </c>
      <c r="G44" s="1"/>
      <c r="H44" s="1" t="str">
        <f t="shared" si="3"/>
        <v/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 t="str">
        <f t="shared" ref="AE44:AF44" si="26">IF(OR(AE$21="",$G44=""),"",AD44)</f>
        <v/>
      </c>
      <c r="AF44" s="1" t="str">
        <f t="shared" si="26"/>
        <v/>
      </c>
    </row>
    <row r="45" ht="12.75" customHeight="1">
      <c r="D45" s="1"/>
      <c r="F45" s="25" t="str">
        <f t="shared" si="11"/>
        <v/>
      </c>
      <c r="G45" s="1"/>
      <c r="H45" s="1" t="str">
        <f t="shared" si="3"/>
        <v/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 t="str">
        <f t="shared" ref="AE45:AF45" si="27">IF(OR(AE$21="",$G45=""),"",AD45)</f>
        <v/>
      </c>
      <c r="AF45" s="1" t="str">
        <f t="shared" si="27"/>
        <v/>
      </c>
    </row>
    <row r="46" ht="12.75" customHeight="1">
      <c r="D46" s="1"/>
      <c r="F46" s="25" t="str">
        <f t="shared" si="11"/>
        <v/>
      </c>
      <c r="G46" s="1"/>
      <c r="H46" s="1" t="str">
        <f t="shared" si="3"/>
        <v/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 t="str">
        <f t="shared" ref="AE46:AF46" si="28">IF(OR(AE$21="",$G46=""),"",AD46)</f>
        <v/>
      </c>
      <c r="AF46" s="1" t="str">
        <f t="shared" si="28"/>
        <v/>
      </c>
    </row>
    <row r="47" ht="12.75" customHeight="1">
      <c r="D47" s="1"/>
      <c r="F47" s="25" t="str">
        <f t="shared" si="11"/>
        <v/>
      </c>
      <c r="G47" s="1"/>
      <c r="H47" s="1" t="str">
        <f t="shared" si="3"/>
        <v/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 t="str">
        <f t="shared" ref="AE47:AF47" si="29">IF(OR(AE$21="",$G47=""),"",AD47)</f>
        <v/>
      </c>
      <c r="AF47" s="1" t="str">
        <f t="shared" si="29"/>
        <v/>
      </c>
    </row>
    <row r="48" ht="12.75" customHeight="1">
      <c r="D48" s="1"/>
      <c r="F48" s="25" t="str">
        <f t="shared" si="11"/>
        <v/>
      </c>
      <c r="G48" s="1"/>
      <c r="H48" s="1" t="str">
        <f t="shared" si="3"/>
        <v/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 t="str">
        <f t="shared" ref="AE48:AF48" si="30">IF(OR(AE$21="",$G48=""),"",AD48)</f>
        <v/>
      </c>
      <c r="AF48" s="1" t="str">
        <f t="shared" si="30"/>
        <v/>
      </c>
    </row>
    <row r="49" ht="12.75" customHeight="1">
      <c r="D49" s="1"/>
      <c r="F49" s="25" t="str">
        <f t="shared" si="11"/>
        <v/>
      </c>
      <c r="G49" s="1"/>
      <c r="H49" s="1" t="str">
        <f t="shared" si="3"/>
        <v/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 t="str">
        <f t="shared" ref="AE49:AF49" si="31">IF(OR(AE$21="",$G49=""),"",AD49)</f>
        <v/>
      </c>
      <c r="AF49" s="1" t="str">
        <f t="shared" si="31"/>
        <v/>
      </c>
    </row>
    <row r="50" ht="12.75" customHeight="1">
      <c r="D50" s="1"/>
      <c r="F50" s="25" t="str">
        <f t="shared" si="11"/>
        <v/>
      </c>
      <c r="G50" s="1"/>
      <c r="H50" s="1" t="str">
        <f t="shared" si="3"/>
        <v/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 t="str">
        <f t="shared" ref="AE50:AF50" si="32">IF(OR(AE$21="",$G50=""),"",AD50)</f>
        <v/>
      </c>
      <c r="AF50" s="1" t="str">
        <f t="shared" si="32"/>
        <v/>
      </c>
    </row>
    <row r="51" ht="12.75" customHeight="1">
      <c r="D51" s="1"/>
      <c r="F51" s="25" t="str">
        <f t="shared" si="11"/>
        <v/>
      </c>
      <c r="G51" s="1"/>
      <c r="H51" s="1" t="str">
        <f t="shared" si="3"/>
        <v/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 t="str">
        <f t="shared" ref="AE51:AF51" si="33">IF(OR(AE$21="",$G51=""),"",AD51)</f>
        <v/>
      </c>
      <c r="AF51" s="1" t="str">
        <f t="shared" si="33"/>
        <v/>
      </c>
    </row>
    <row r="52" ht="12.75" customHeight="1">
      <c r="D52" s="1"/>
      <c r="F52" s="25" t="str">
        <f t="shared" si="11"/>
        <v/>
      </c>
      <c r="G52" s="1"/>
      <c r="H52" s="1" t="str">
        <f t="shared" si="3"/>
        <v/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 t="str">
        <f t="shared" ref="AE52:AF52" si="34">IF(OR(AE$21="",$G52=""),"",AD52)</f>
        <v/>
      </c>
      <c r="AF52" s="1" t="str">
        <f t="shared" si="34"/>
        <v/>
      </c>
    </row>
    <row r="53" ht="12.75" customHeight="1">
      <c r="D53" s="1"/>
      <c r="F53" s="25" t="str">
        <f t="shared" si="11"/>
        <v/>
      </c>
      <c r="G53" s="1"/>
      <c r="H53" s="1" t="str">
        <f t="shared" si="3"/>
        <v/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 t="str">
        <f t="shared" ref="AE53:AF53" si="35">IF(OR(AE$21="",$G53=""),"",AD53)</f>
        <v/>
      </c>
      <c r="AF53" s="1" t="str">
        <f t="shared" si="35"/>
        <v/>
      </c>
    </row>
    <row r="54" ht="12.75" customHeight="1">
      <c r="D54" s="1"/>
      <c r="F54" s="25" t="str">
        <f t="shared" si="11"/>
        <v/>
      </c>
      <c r="G54" s="1"/>
      <c r="H54" s="1" t="str">
        <f t="shared" si="3"/>
        <v/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 t="str">
        <f t="shared" ref="AE54:AF54" si="36">IF(OR(AE$21="",$G54=""),"",AD54)</f>
        <v/>
      </c>
      <c r="AF54" s="1" t="str">
        <f t="shared" si="36"/>
        <v/>
      </c>
    </row>
    <row r="55" ht="12.75" customHeight="1">
      <c r="D55" s="1"/>
      <c r="F55" s="25" t="str">
        <f t="shared" si="11"/>
        <v/>
      </c>
      <c r="G55" s="1"/>
      <c r="H55" s="1" t="str">
        <f t="shared" si="3"/>
        <v/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 t="str">
        <f t="shared" ref="AE55:AF55" si="37">IF(OR(AE$21="",$G55=""),"",AD55)</f>
        <v/>
      </c>
      <c r="AF55" s="1" t="str">
        <f t="shared" si="37"/>
        <v/>
      </c>
    </row>
    <row r="56" ht="12.75" customHeight="1">
      <c r="D56" s="1"/>
      <c r="F56" s="25" t="str">
        <f t="shared" si="11"/>
        <v/>
      </c>
      <c r="G56" s="1"/>
      <c r="H56" s="1" t="str">
        <f t="shared" si="3"/>
        <v/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 t="str">
        <f t="shared" ref="AE56:AF56" si="38">IF(OR(AE$21="",$G56=""),"",AD56)</f>
        <v/>
      </c>
      <c r="AF56" s="1" t="str">
        <f t="shared" si="38"/>
        <v/>
      </c>
    </row>
    <row r="57" ht="12.75" customHeight="1">
      <c r="D57" s="1"/>
      <c r="F57" s="25" t="str">
        <f t="shared" si="11"/>
        <v/>
      </c>
      <c r="G57" s="1"/>
      <c r="H57" s="1" t="str">
        <f t="shared" si="3"/>
        <v/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 t="str">
        <f t="shared" ref="AE57:AF57" si="39">IF(OR(AE$21="",$G57=""),"",AD57)</f>
        <v/>
      </c>
      <c r="AF57" s="1" t="str">
        <f t="shared" si="39"/>
        <v/>
      </c>
    </row>
    <row r="58" ht="12.75" customHeight="1">
      <c r="D58" s="1"/>
      <c r="F58" s="25" t="str">
        <f t="shared" si="11"/>
        <v/>
      </c>
      <c r="G58" s="1"/>
      <c r="H58" s="1" t="str">
        <f t="shared" si="3"/>
        <v/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 t="str">
        <f t="shared" ref="AE58:AF58" si="40">IF(OR(AE$21="",$G58=""),"",AD58)</f>
        <v/>
      </c>
      <c r="AF58" s="1" t="str">
        <f t="shared" si="40"/>
        <v/>
      </c>
    </row>
    <row r="59" ht="12.75" customHeight="1">
      <c r="D59" s="1"/>
      <c r="F59" s="25" t="str">
        <f t="shared" si="11"/>
        <v/>
      </c>
      <c r="G59" s="1"/>
      <c r="H59" s="1" t="str">
        <f t="shared" si="3"/>
        <v/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 t="str">
        <f t="shared" ref="AE59:AF59" si="41">IF(OR(AE$21="",$G59=""),"",AD59)</f>
        <v/>
      </c>
      <c r="AF59" s="1" t="str">
        <f t="shared" si="41"/>
        <v/>
      </c>
    </row>
    <row r="60" ht="12.75" customHeight="1">
      <c r="D60" s="1"/>
      <c r="F60" s="25" t="str">
        <f t="shared" si="11"/>
        <v/>
      </c>
      <c r="G60" s="1"/>
      <c r="H60" s="1" t="str">
        <f t="shared" si="3"/>
        <v/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 t="str">
        <f t="shared" ref="AE60:AF60" si="42">IF(OR(AE$21="",$G60=""),"",AD60)</f>
        <v/>
      </c>
      <c r="AF60" s="1" t="str">
        <f t="shared" si="42"/>
        <v/>
      </c>
    </row>
    <row r="61" ht="12.75" customHeight="1">
      <c r="D61" s="1"/>
      <c r="F61" s="25" t="str">
        <f t="shared" si="11"/>
        <v/>
      </c>
      <c r="G61" s="1"/>
      <c r="H61" s="1" t="str">
        <f t="shared" si="3"/>
        <v/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 t="str">
        <f t="shared" ref="AE61:AF61" si="43">IF(OR(AE$21="",$G61=""),"",AD61)</f>
        <v/>
      </c>
      <c r="AF61" s="1" t="str">
        <f t="shared" si="43"/>
        <v/>
      </c>
    </row>
    <row r="62" ht="12.75" customHeight="1">
      <c r="D62" s="1"/>
      <c r="F62" s="25" t="str">
        <f t="shared" si="11"/>
        <v/>
      </c>
      <c r="G62" s="1"/>
      <c r="H62" s="1" t="str">
        <f t="shared" si="3"/>
        <v/>
      </c>
      <c r="I62" s="1" t="str">
        <f t="shared" ref="I62:AF62" si="44">IF(OR(I$21="",$G62=""),"",H62)</f>
        <v/>
      </c>
      <c r="J62" s="1" t="str">
        <f t="shared" si="44"/>
        <v/>
      </c>
      <c r="K62" s="1" t="str">
        <f t="shared" si="44"/>
        <v/>
      </c>
      <c r="L62" s="1" t="str">
        <f t="shared" si="44"/>
        <v/>
      </c>
      <c r="M62" s="1" t="str">
        <f t="shared" si="44"/>
        <v/>
      </c>
      <c r="N62" s="1" t="str">
        <f t="shared" si="44"/>
        <v/>
      </c>
      <c r="O62" s="1" t="str">
        <f t="shared" si="44"/>
        <v/>
      </c>
      <c r="P62" s="1" t="str">
        <f t="shared" si="44"/>
        <v/>
      </c>
      <c r="Q62" s="1" t="str">
        <f t="shared" si="44"/>
        <v/>
      </c>
      <c r="R62" s="1" t="str">
        <f t="shared" si="44"/>
        <v/>
      </c>
      <c r="S62" s="1" t="str">
        <f t="shared" si="44"/>
        <v/>
      </c>
      <c r="T62" s="1" t="str">
        <f t="shared" si="44"/>
        <v/>
      </c>
      <c r="U62" s="1" t="str">
        <f t="shared" si="44"/>
        <v/>
      </c>
      <c r="V62" s="1" t="str">
        <f t="shared" si="44"/>
        <v/>
      </c>
      <c r="W62" s="1" t="str">
        <f t="shared" si="44"/>
        <v/>
      </c>
      <c r="X62" s="1" t="str">
        <f t="shared" si="44"/>
        <v/>
      </c>
      <c r="Y62" s="1" t="str">
        <f t="shared" si="44"/>
        <v/>
      </c>
      <c r="Z62" s="1" t="str">
        <f t="shared" si="44"/>
        <v/>
      </c>
      <c r="AA62" s="1" t="str">
        <f t="shared" si="44"/>
        <v/>
      </c>
      <c r="AB62" s="1" t="str">
        <f t="shared" si="44"/>
        <v/>
      </c>
      <c r="AC62" s="1" t="str">
        <f t="shared" si="44"/>
        <v/>
      </c>
      <c r="AD62" s="1" t="str">
        <f t="shared" si="44"/>
        <v/>
      </c>
      <c r="AE62" s="1" t="str">
        <f t="shared" si="44"/>
        <v/>
      </c>
      <c r="AF62" s="1" t="str">
        <f t="shared" si="44"/>
        <v/>
      </c>
    </row>
    <row r="63" ht="12.75" customHeight="1">
      <c r="D63" s="1"/>
      <c r="F63" s="25" t="str">
        <f t="shared" si="11"/>
        <v/>
      </c>
      <c r="G63" s="1"/>
      <c r="H63" s="1" t="str">
        <f t="shared" si="3"/>
        <v/>
      </c>
      <c r="I63" s="1" t="str">
        <f t="shared" ref="I63:AF63" si="45">IF(OR(I$21="",$G63=""),"",H63)</f>
        <v/>
      </c>
      <c r="J63" s="1" t="str">
        <f t="shared" si="45"/>
        <v/>
      </c>
      <c r="K63" s="1" t="str">
        <f t="shared" si="45"/>
        <v/>
      </c>
      <c r="L63" s="1" t="str">
        <f t="shared" si="45"/>
        <v/>
      </c>
      <c r="M63" s="1" t="str">
        <f t="shared" si="45"/>
        <v/>
      </c>
      <c r="N63" s="1" t="str">
        <f t="shared" si="45"/>
        <v/>
      </c>
      <c r="O63" s="1" t="str">
        <f t="shared" si="45"/>
        <v/>
      </c>
      <c r="P63" s="1" t="str">
        <f t="shared" si="45"/>
        <v/>
      </c>
      <c r="Q63" s="1" t="str">
        <f t="shared" si="45"/>
        <v/>
      </c>
      <c r="R63" s="1" t="str">
        <f t="shared" si="45"/>
        <v/>
      </c>
      <c r="S63" s="1" t="str">
        <f t="shared" si="45"/>
        <v/>
      </c>
      <c r="T63" s="1" t="str">
        <f t="shared" si="45"/>
        <v/>
      </c>
      <c r="U63" s="1" t="str">
        <f t="shared" si="45"/>
        <v/>
      </c>
      <c r="V63" s="1" t="str">
        <f t="shared" si="45"/>
        <v/>
      </c>
      <c r="W63" s="1" t="str">
        <f t="shared" si="45"/>
        <v/>
      </c>
      <c r="X63" s="1" t="str">
        <f t="shared" si="45"/>
        <v/>
      </c>
      <c r="Y63" s="1" t="str">
        <f t="shared" si="45"/>
        <v/>
      </c>
      <c r="Z63" s="1" t="str">
        <f t="shared" si="45"/>
        <v/>
      </c>
      <c r="AA63" s="1" t="str">
        <f t="shared" si="45"/>
        <v/>
      </c>
      <c r="AB63" s="1" t="str">
        <f t="shared" si="45"/>
        <v/>
      </c>
      <c r="AC63" s="1" t="str">
        <f t="shared" si="45"/>
        <v/>
      </c>
      <c r="AD63" s="1" t="str">
        <f t="shared" si="45"/>
        <v/>
      </c>
      <c r="AE63" s="1" t="str">
        <f t="shared" si="45"/>
        <v/>
      </c>
      <c r="AF63" s="1" t="str">
        <f t="shared" si="45"/>
        <v/>
      </c>
    </row>
    <row r="64" ht="12.75" customHeight="1">
      <c r="D64" s="1"/>
      <c r="F64" s="25" t="str">
        <f t="shared" si="11"/>
        <v/>
      </c>
      <c r="G64" s="1"/>
      <c r="H64" s="1" t="str">
        <f t="shared" si="3"/>
        <v/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 t="str">
        <f t="shared" ref="AE64:AF64" si="46">IF(OR(AE$21="",$G64=""),"",AD64)</f>
        <v/>
      </c>
      <c r="AF64" s="1" t="str">
        <f t="shared" si="46"/>
        <v/>
      </c>
    </row>
    <row r="65" ht="12.75" customHeight="1">
      <c r="D65" s="1"/>
      <c r="F65" s="25" t="str">
        <f t="shared" si="11"/>
        <v/>
      </c>
      <c r="G65" s="1"/>
      <c r="H65" s="1" t="str">
        <f t="shared" si="3"/>
        <v/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 t="str">
        <f t="shared" ref="AE65:AF65" si="47">IF(OR(AE$21="",$G65=""),"",AD65)</f>
        <v/>
      </c>
      <c r="AF65" s="1" t="str">
        <f t="shared" si="47"/>
        <v/>
      </c>
    </row>
    <row r="66" ht="12.75" customHeight="1">
      <c r="D66" s="1"/>
      <c r="F66" s="25" t="str">
        <f t="shared" si="11"/>
        <v/>
      </c>
      <c r="G66" s="1"/>
      <c r="H66" s="1" t="str">
        <f t="shared" si="3"/>
        <v/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ht="12.75" customHeight="1">
      <c r="D67" s="1"/>
      <c r="F67" s="25" t="str">
        <f t="shared" si="11"/>
        <v/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ht="12.75" customHeight="1">
      <c r="D68" s="1"/>
      <c r="F68" s="25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ht="12.75" customHeight="1">
      <c r="D69" s="1"/>
      <c r="F69" s="25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ht="12.75" customHeight="1">
      <c r="D70" s="1"/>
      <c r="F70" s="25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ht="12.75" customHeight="1">
      <c r="A71" s="1"/>
      <c r="D71" s="1"/>
      <c r="F71" s="25" t="str">
        <f>IF(C71&lt;&gt;"","Planned","")</f>
        <v/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ht="12.75" customHeight="1">
      <c r="D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ht="12.75" customHeight="1">
      <c r="D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ht="12.75" customHeight="1">
      <c r="D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ht="12.75" customHeight="1">
      <c r="D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ht="12.75" customHeight="1">
      <c r="D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ht="12.75" customHeight="1">
      <c r="D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ht="12.75" customHeight="1">
      <c r="D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ht="12.75" customHeight="1">
      <c r="D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ht="12.75" customHeight="1">
      <c r="D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ht="12.75" customHeight="1">
      <c r="D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ht="12.75" customHeight="1">
      <c r="D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ht="12.75" customHeight="1">
      <c r="D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ht="12.75" customHeight="1">
      <c r="D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ht="12.75" customHeight="1">
      <c r="D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ht="12.75" customHeight="1">
      <c r="D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ht="12.75" customHeight="1">
      <c r="D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ht="12.75" customHeight="1">
      <c r="D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ht="12.75" customHeight="1">
      <c r="D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ht="12.75" customHeight="1">
      <c r="D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ht="12.75" customHeight="1">
      <c r="D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ht="12.75" customHeight="1">
      <c r="D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ht="12.75" customHeight="1">
      <c r="D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ht="12.75" customHeight="1">
      <c r="D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ht="12.75" customHeight="1">
      <c r="D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ht="12.75" customHeight="1">
      <c r="D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ht="12.75" customHeight="1">
      <c r="D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ht="12.75" customHeight="1">
      <c r="D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ht="12.75" customHeight="1">
      <c r="D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ht="12.75" customHeight="1">
      <c r="D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ht="12.75" customHeight="1">
      <c r="D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ht="12.75" customHeight="1">
      <c r="D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ht="12.75" customHeight="1">
      <c r="D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ht="12.75" customHeight="1">
      <c r="D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ht="12.75" customHeight="1">
      <c r="D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ht="12.75" customHeight="1">
      <c r="D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ht="12.75" customHeight="1">
      <c r="D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ht="12.75" customHeight="1">
      <c r="D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ht="12.75" customHeight="1">
      <c r="D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ht="12.75" customHeight="1">
      <c r="D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ht="12.75" customHeight="1">
      <c r="D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ht="12.75" customHeight="1">
      <c r="D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ht="12.75" customHeight="1">
      <c r="D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ht="12.75" customHeight="1">
      <c r="D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ht="12.75" customHeight="1">
      <c r="D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ht="12.75" customHeight="1">
      <c r="D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ht="12.75" customHeight="1">
      <c r="D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ht="12.75" customHeight="1">
      <c r="D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ht="12.75" customHeight="1">
      <c r="D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ht="12.75" customHeight="1">
      <c r="D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ht="12.75" customHeight="1">
      <c r="D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ht="12.75" customHeight="1">
      <c r="D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ht="12.75" customHeight="1">
      <c r="D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 ht="12.75" customHeight="1">
      <c r="D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 ht="12.75" customHeight="1">
      <c r="D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 ht="12.75" customHeight="1">
      <c r="D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 ht="12.75" customHeight="1">
      <c r="D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ht="12.75" customHeight="1">
      <c r="D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ht="12.75" customHeight="1">
      <c r="D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 ht="12.75" customHeight="1">
      <c r="D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ht="12.75" customHeight="1">
      <c r="D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ht="12.75" customHeight="1">
      <c r="D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 ht="12.75" customHeight="1">
      <c r="D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ht="12.75" customHeight="1">
      <c r="D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 ht="12.75" customHeight="1">
      <c r="D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 ht="12.75" customHeight="1">
      <c r="D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ht="12.75" customHeight="1">
      <c r="D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ht="12.75" customHeight="1">
      <c r="D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 ht="12.75" customHeight="1">
      <c r="D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ht="12.75" customHeight="1">
      <c r="D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ht="12.75" customHeight="1">
      <c r="D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ht="12.75" customHeight="1">
      <c r="D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 ht="12.75" customHeight="1">
      <c r="D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ht="12.75" customHeight="1">
      <c r="D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ht="12.75" customHeight="1">
      <c r="D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 ht="12.75" customHeight="1">
      <c r="D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ht="12.75" customHeight="1">
      <c r="D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ht="12.75" customHeight="1">
      <c r="D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ht="12.75" customHeight="1">
      <c r="D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ht="12.75" customHeight="1">
      <c r="D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ht="12.75" customHeight="1">
      <c r="D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ht="12.75" customHeight="1">
      <c r="D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ht="12.75" customHeight="1">
      <c r="D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ht="12.75" customHeight="1">
      <c r="D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ht="12.75" customHeight="1">
      <c r="D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ht="12.75" customHeight="1">
      <c r="D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ht="12.75" customHeight="1">
      <c r="D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ht="12.75" customHeight="1">
      <c r="D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ht="12.75" customHeight="1">
      <c r="D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ht="12.75" customHeight="1">
      <c r="D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ht="12.75" customHeight="1">
      <c r="D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ht="12.75" customHeight="1">
      <c r="D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ht="12.75" customHeight="1">
      <c r="D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ht="12.75" customHeight="1">
      <c r="D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ht="12.75" customHeight="1">
      <c r="D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ht="12.75" customHeight="1">
      <c r="D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ht="12.75" customHeight="1">
      <c r="D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ht="12.75" customHeight="1">
      <c r="D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ht="12.75" customHeight="1">
      <c r="D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ht="12.75" customHeight="1">
      <c r="D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ht="12.75" customHeight="1">
      <c r="D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ht="12.75" customHeight="1">
      <c r="D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ht="12.75" customHeight="1">
      <c r="D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ht="12.75" customHeight="1">
      <c r="D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ht="12.75" customHeight="1">
      <c r="D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ht="12.75" customHeight="1">
      <c r="D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ht="12.75" customHeight="1">
      <c r="D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ht="12.75" customHeight="1">
      <c r="D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ht="12.75" customHeight="1">
      <c r="D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ht="12.75" customHeight="1">
      <c r="D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ht="12.75" customHeight="1">
      <c r="D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ht="12.75" customHeight="1">
      <c r="D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ht="12.75" customHeight="1">
      <c r="D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ht="12.75" customHeight="1">
      <c r="D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ht="12.75" customHeight="1">
      <c r="D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ht="12.75" customHeight="1">
      <c r="D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ht="12.75" customHeight="1">
      <c r="D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ht="12.75" customHeight="1">
      <c r="D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ht="12.75" customHeight="1">
      <c r="D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ht="12.75" customHeight="1">
      <c r="D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ht="12.75" customHeight="1">
      <c r="D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ht="12.75" customHeight="1">
      <c r="D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ht="12.75" customHeight="1">
      <c r="D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ht="12.75" customHeight="1">
      <c r="D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ht="12.75" customHeight="1">
      <c r="D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ht="12.75" customHeight="1">
      <c r="D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ht="12.75" customHeight="1">
      <c r="D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ht="12.75" customHeight="1">
      <c r="D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ht="12.75" customHeight="1">
      <c r="D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ht="12.75" customHeight="1">
      <c r="D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ht="12.75" customHeight="1">
      <c r="D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ht="12.75" customHeight="1">
      <c r="D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ht="12.75" customHeight="1">
      <c r="D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ht="12.75" customHeight="1">
      <c r="D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ht="12.75" customHeight="1">
      <c r="D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ht="12.75" customHeight="1">
      <c r="D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ht="12.75" customHeight="1">
      <c r="D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ht="12.75" customHeight="1">
      <c r="D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ht="12.75" customHeight="1">
      <c r="D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ht="12.75" customHeight="1">
      <c r="D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ht="12.75" customHeight="1">
      <c r="D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ht="12.75" customHeight="1">
      <c r="D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ht="12.75" customHeight="1">
      <c r="D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ht="12.75" customHeight="1">
      <c r="D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 ht="12.75" customHeight="1">
      <c r="D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ht="12.75" customHeight="1">
      <c r="D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ht="12.75" customHeight="1">
      <c r="D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ht="12.75" customHeight="1">
      <c r="D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ht="12.75" customHeight="1">
      <c r="D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ht="12.75" customHeight="1">
      <c r="D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ht="12.75" customHeight="1">
      <c r="D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 ht="12.75" customHeight="1">
      <c r="D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ht="12.75" customHeight="1">
      <c r="D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ht="12.75" customHeight="1">
      <c r="D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ht="12.75" customHeight="1">
      <c r="D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ht="12.75" customHeight="1">
      <c r="D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ht="12.75" customHeight="1">
      <c r="D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ht="12.75" customHeight="1">
      <c r="D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ht="12.75" customHeight="1">
      <c r="D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ht="12.75" customHeight="1">
      <c r="D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ht="12.75" customHeight="1">
      <c r="D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ht="12.75" customHeight="1">
      <c r="D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ht="12.75" customHeight="1">
      <c r="D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ht="12.75" customHeight="1">
      <c r="D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ht="12.75" customHeight="1">
      <c r="D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ht="12.75" customHeight="1">
      <c r="D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ht="12.75" customHeight="1">
      <c r="D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ht="12.75" customHeight="1">
      <c r="D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ht="12.75" customHeight="1">
      <c r="D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ht="12.75" customHeight="1">
      <c r="D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ht="12.75" customHeight="1">
      <c r="D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ht="12.75" customHeight="1">
      <c r="D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ht="12.75" customHeight="1">
      <c r="D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ht="12.75" customHeight="1">
      <c r="D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ht="12.75" customHeight="1">
      <c r="D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 ht="12.75" customHeight="1">
      <c r="D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 ht="12.75" customHeight="1">
      <c r="D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ht="12.75" customHeight="1">
      <c r="D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ht="12.75" customHeight="1">
      <c r="D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ht="12.75" customHeight="1">
      <c r="D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ht="12.75" customHeight="1">
      <c r="D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ht="12.75" customHeight="1">
      <c r="D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 ht="12.75" customHeight="1">
      <c r="D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 ht="12.75" customHeight="1">
      <c r="D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 ht="12.75" customHeight="1">
      <c r="D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 ht="12.75" customHeight="1">
      <c r="D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 ht="12.75" customHeight="1">
      <c r="D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 ht="12.75" customHeight="1">
      <c r="D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 ht="12.75" customHeight="1">
      <c r="D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 ht="12.75" customHeight="1">
      <c r="D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 ht="12.75" customHeight="1">
      <c r="D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 ht="12.75" customHeight="1">
      <c r="D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 ht="12.75" customHeight="1">
      <c r="D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 ht="12.75" customHeight="1">
      <c r="D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 ht="12.75" customHeight="1">
      <c r="D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 ht="12.75" customHeight="1">
      <c r="D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 ht="12.75" customHeight="1">
      <c r="D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 ht="12.75" customHeight="1">
      <c r="D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 ht="12.75" customHeight="1">
      <c r="D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 ht="12.75" customHeight="1">
      <c r="D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 ht="12.75" customHeight="1">
      <c r="D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 ht="12.75" customHeight="1">
      <c r="D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 ht="12.75" customHeight="1">
      <c r="D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 ht="12.75" customHeight="1">
      <c r="D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 ht="12.75" customHeight="1">
      <c r="D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 ht="12.75" customHeight="1">
      <c r="D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 ht="12.75" customHeight="1">
      <c r="D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 ht="12.75" customHeight="1">
      <c r="D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 ht="12.75" customHeight="1">
      <c r="D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 ht="12.75" customHeight="1">
      <c r="D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 ht="12.75" customHeight="1">
      <c r="D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 ht="12.75" customHeight="1">
      <c r="D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 ht="12.75" customHeight="1">
      <c r="D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 ht="12.75" customHeight="1">
      <c r="D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 ht="12.75" customHeight="1">
      <c r="D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 ht="12.75" customHeight="1">
      <c r="D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 ht="12.75" customHeight="1">
      <c r="D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 ht="12.75" customHeight="1">
      <c r="D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 ht="12.75" customHeight="1">
      <c r="D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 ht="12.75" customHeight="1">
      <c r="D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 ht="12.75" customHeight="1">
      <c r="D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 ht="12.75" customHeight="1">
      <c r="D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 ht="12.75" customHeight="1">
      <c r="D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 ht="12.75" customHeight="1">
      <c r="D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 ht="12.75" customHeight="1">
      <c r="D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 ht="12.75" customHeight="1">
      <c r="D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 ht="12.75" customHeight="1">
      <c r="D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 ht="12.75" customHeight="1">
      <c r="D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 ht="12.75" customHeight="1">
      <c r="D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 ht="12.75" customHeight="1">
      <c r="D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 ht="12.75" customHeight="1">
      <c r="D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 ht="12.75" customHeight="1">
      <c r="D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 ht="12.75" customHeight="1">
      <c r="D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 ht="12.75" customHeight="1">
      <c r="D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 ht="12.75" customHeight="1">
      <c r="D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 ht="12.75" customHeight="1">
      <c r="D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 ht="12.75" customHeight="1">
      <c r="D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 ht="12.75" customHeight="1">
      <c r="D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 ht="12.75" customHeight="1">
      <c r="D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 ht="12.75" customHeight="1">
      <c r="D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 ht="12.75" customHeight="1">
      <c r="D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 ht="12.75" customHeight="1">
      <c r="D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 ht="12.75" customHeight="1">
      <c r="D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 ht="12.75" customHeight="1">
      <c r="D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 ht="12.75" customHeight="1">
      <c r="D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 ht="12.75" customHeight="1">
      <c r="D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 ht="12.75" customHeight="1">
      <c r="D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 ht="12.75" customHeight="1">
      <c r="D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 ht="12.75" customHeight="1">
      <c r="D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 ht="12.75" customHeight="1">
      <c r="D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 ht="12.75" customHeight="1">
      <c r="D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 ht="12.75" customHeight="1">
      <c r="D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 ht="12.75" customHeight="1">
      <c r="D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 ht="12.75" customHeight="1">
      <c r="D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 ht="12.75" customHeight="1">
      <c r="D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 ht="12.75" customHeight="1">
      <c r="D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 ht="12.75" customHeight="1">
      <c r="D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 ht="12.75" customHeight="1">
      <c r="D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 ht="12.75" customHeight="1">
      <c r="D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 ht="12.75" customHeight="1">
      <c r="D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 ht="12.75" customHeight="1">
      <c r="D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 ht="12.75" customHeight="1">
      <c r="D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 ht="12.75" customHeight="1">
      <c r="D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 ht="12.75" customHeight="1">
      <c r="D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 ht="12.75" customHeight="1">
      <c r="D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 ht="12.75" customHeight="1">
      <c r="D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 ht="12.75" customHeight="1">
      <c r="D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 ht="12.75" customHeight="1">
      <c r="D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 ht="12.75" customHeight="1">
      <c r="D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 ht="12.75" customHeight="1">
      <c r="D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 ht="12.75" customHeight="1">
      <c r="D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 ht="12.75" customHeight="1">
      <c r="D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 ht="12.75" customHeight="1">
      <c r="D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 ht="12.75" customHeight="1">
      <c r="D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 ht="12.75" customHeight="1">
      <c r="D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 ht="12.75" customHeight="1">
      <c r="D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 ht="12.75" customHeight="1">
      <c r="D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 ht="12.75" customHeight="1">
      <c r="D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 ht="12.75" customHeight="1">
      <c r="D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 ht="12.75" customHeight="1">
      <c r="D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 ht="12.75" customHeight="1">
      <c r="D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 ht="12.75" customHeight="1">
      <c r="D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 ht="12.75" customHeight="1">
      <c r="D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 ht="12.75" customHeight="1">
      <c r="D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 ht="12.75" customHeight="1">
      <c r="D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 ht="12.75" customHeight="1">
      <c r="D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 ht="12.75" customHeight="1">
      <c r="D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 ht="12.75" customHeight="1">
      <c r="D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 ht="12.75" customHeight="1">
      <c r="D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 ht="12.75" customHeight="1">
      <c r="D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 ht="12.75" customHeight="1">
      <c r="D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 ht="12.75" customHeight="1">
      <c r="D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 ht="12.75" customHeight="1">
      <c r="D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 ht="12.75" customHeight="1">
      <c r="D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 ht="12.75" customHeight="1">
      <c r="D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 ht="12.75" customHeight="1">
      <c r="D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 ht="12.75" customHeight="1">
      <c r="D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 ht="12.75" customHeight="1">
      <c r="D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 ht="12.75" customHeight="1">
      <c r="D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 ht="12.75" customHeight="1">
      <c r="D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 ht="12.75" customHeight="1">
      <c r="D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 ht="12.75" customHeight="1">
      <c r="D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 ht="12.75" customHeight="1">
      <c r="D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 ht="12.75" customHeight="1">
      <c r="D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 ht="12.75" customHeight="1">
      <c r="D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 ht="12.75" customHeight="1">
      <c r="D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 ht="12.75" customHeight="1">
      <c r="D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 ht="12.75" customHeight="1">
      <c r="D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 ht="12.75" customHeight="1">
      <c r="D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 ht="12.75" customHeight="1">
      <c r="D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 ht="12.75" customHeight="1">
      <c r="D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 ht="12.75" customHeight="1">
      <c r="D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 ht="12.75" customHeight="1">
      <c r="D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 ht="12.75" customHeight="1">
      <c r="D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 ht="12.75" customHeight="1">
      <c r="D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 ht="12.75" customHeight="1">
      <c r="D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 ht="12.75" customHeight="1">
      <c r="D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 ht="12.75" customHeight="1">
      <c r="D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 ht="12.75" customHeight="1">
      <c r="D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 ht="12.75" customHeight="1">
      <c r="D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 ht="12.75" customHeight="1">
      <c r="D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 ht="12.75" customHeight="1">
      <c r="D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 ht="12.75" customHeight="1">
      <c r="D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 ht="12.75" customHeight="1">
      <c r="D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 ht="12.75" customHeight="1">
      <c r="D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 ht="12.75" customHeight="1">
      <c r="D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 ht="12.75" customHeight="1">
      <c r="D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 ht="12.75" customHeight="1">
      <c r="D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 ht="12.75" customHeight="1">
      <c r="D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 ht="12.75" customHeight="1">
      <c r="D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 ht="12.75" customHeight="1">
      <c r="D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 ht="12.75" customHeight="1">
      <c r="D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 ht="12.75" customHeight="1">
      <c r="D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 ht="12.75" customHeight="1">
      <c r="D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 ht="12.75" customHeight="1">
      <c r="D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 ht="12.75" customHeight="1">
      <c r="D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 ht="12.75" customHeight="1">
      <c r="D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 ht="12.75" customHeight="1">
      <c r="D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 ht="12.75" customHeight="1">
      <c r="D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 ht="12.75" customHeight="1">
      <c r="D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 ht="12.75" customHeight="1">
      <c r="D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 ht="12.75" customHeight="1">
      <c r="D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 ht="12.75" customHeight="1">
      <c r="D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 ht="12.75" customHeight="1">
      <c r="D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 ht="12.75" customHeight="1">
      <c r="D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 ht="12.75" customHeight="1">
      <c r="D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 ht="12.75" customHeight="1">
      <c r="D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 ht="12.75" customHeight="1">
      <c r="D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 ht="12.75" customHeight="1">
      <c r="D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 ht="12.75" customHeight="1">
      <c r="D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 ht="12.75" customHeight="1">
      <c r="D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 ht="12.75" customHeight="1">
      <c r="D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 ht="12.75" customHeight="1">
      <c r="D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 ht="12.75" customHeight="1">
      <c r="D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 ht="12.75" customHeight="1">
      <c r="D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 ht="12.75" customHeight="1">
      <c r="D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 ht="12.75" customHeight="1">
      <c r="D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 ht="12.75" customHeight="1">
      <c r="D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 ht="12.75" customHeight="1">
      <c r="D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 ht="12.75" customHeight="1">
      <c r="D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 ht="12.75" customHeight="1">
      <c r="D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 ht="12.75" customHeight="1">
      <c r="D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 ht="12.75" customHeight="1">
      <c r="D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 ht="12.75" customHeight="1">
      <c r="D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 ht="12.75" customHeight="1">
      <c r="D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 ht="12.75" customHeight="1">
      <c r="D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 ht="12.75" customHeight="1">
      <c r="D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 ht="12.75" customHeight="1">
      <c r="D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 ht="12.75" customHeight="1">
      <c r="D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 ht="12.75" customHeight="1">
      <c r="D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 ht="12.75" customHeight="1">
      <c r="D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 ht="12.75" customHeight="1">
      <c r="D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 ht="12.75" customHeight="1">
      <c r="D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 ht="12.75" customHeight="1">
      <c r="D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 ht="12.75" customHeight="1">
      <c r="D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 ht="12.75" customHeight="1">
      <c r="D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 ht="12.75" customHeight="1">
      <c r="D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 ht="12.75" customHeight="1">
      <c r="D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 ht="12.75" customHeight="1">
      <c r="D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 ht="12.75" customHeight="1">
      <c r="D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 ht="12.75" customHeight="1">
      <c r="D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 ht="12.75" customHeight="1">
      <c r="D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 ht="12.75" customHeight="1">
      <c r="D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 ht="12.75" customHeight="1">
      <c r="D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 ht="12.75" customHeight="1">
      <c r="D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 ht="12.75" customHeight="1">
      <c r="D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 ht="12.75" customHeight="1">
      <c r="D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 ht="12.75" customHeight="1">
      <c r="D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 ht="12.75" customHeight="1">
      <c r="D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 ht="12.75" customHeight="1">
      <c r="D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 ht="12.75" customHeight="1">
      <c r="D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 ht="12.75" customHeight="1">
      <c r="D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 ht="12.75" customHeight="1">
      <c r="D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 ht="12.75" customHeight="1">
      <c r="D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 ht="12.75" customHeight="1">
      <c r="D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 ht="12.75" customHeight="1">
      <c r="D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 ht="12.75" customHeight="1">
      <c r="D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 ht="12.75" customHeight="1">
      <c r="D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 ht="12.75" customHeight="1">
      <c r="D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 ht="12.75" customHeight="1">
      <c r="D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 ht="12.75" customHeight="1">
      <c r="D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 ht="12.75" customHeight="1">
      <c r="D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 ht="12.75" customHeight="1">
      <c r="D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 ht="12.75" customHeight="1">
      <c r="D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 ht="12.75" customHeight="1">
      <c r="D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 ht="12.75" customHeight="1">
      <c r="D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 ht="12.75" customHeight="1">
      <c r="D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 ht="12.75" customHeight="1">
      <c r="D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 ht="12.75" customHeight="1">
      <c r="D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 ht="12.75" customHeight="1">
      <c r="D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 ht="12.75" customHeight="1">
      <c r="D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 ht="12.75" customHeight="1">
      <c r="D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 ht="12.75" customHeight="1">
      <c r="D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 ht="12.75" customHeight="1">
      <c r="D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 ht="12.75" customHeight="1">
      <c r="D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 ht="12.75" customHeight="1">
      <c r="D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 ht="12.75" customHeight="1">
      <c r="D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 ht="12.75" customHeight="1">
      <c r="D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 ht="12.75" customHeight="1">
      <c r="D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 ht="12.75" customHeight="1">
      <c r="D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 ht="12.75" customHeight="1">
      <c r="D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 ht="12.75" customHeight="1">
      <c r="D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 ht="12.75" customHeight="1">
      <c r="D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 ht="12.75" customHeight="1">
      <c r="D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 ht="12.75" customHeight="1">
      <c r="D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 ht="12.75" customHeight="1">
      <c r="D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 ht="12.75" customHeight="1">
      <c r="D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 ht="12.75" customHeight="1">
      <c r="D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 ht="12.75" customHeight="1">
      <c r="D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 ht="12.75" customHeight="1">
      <c r="D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 ht="12.75" customHeight="1">
      <c r="D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 ht="12.75" customHeight="1">
      <c r="D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 ht="12.75" customHeight="1">
      <c r="D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 ht="12.75" customHeight="1">
      <c r="D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 ht="12.75" customHeight="1">
      <c r="D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 ht="12.75" customHeight="1">
      <c r="D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 ht="12.75" customHeight="1">
      <c r="D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 ht="12.75" customHeight="1">
      <c r="D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 ht="12.75" customHeight="1">
      <c r="D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 ht="12.75" customHeight="1">
      <c r="D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 ht="12.75" customHeight="1">
      <c r="D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 ht="12.75" customHeight="1">
      <c r="D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 ht="12.75" customHeight="1">
      <c r="D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 ht="12.75" customHeight="1">
      <c r="D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 ht="12.75" customHeight="1">
      <c r="D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 ht="12.75" customHeight="1">
      <c r="D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 ht="12.75" customHeight="1">
      <c r="D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 ht="12.75" customHeight="1">
      <c r="D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 ht="12.75" customHeight="1">
      <c r="D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 ht="12.75" customHeight="1">
      <c r="D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 ht="12.75" customHeight="1">
      <c r="D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 ht="12.75" customHeight="1">
      <c r="D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 ht="12.75" customHeight="1">
      <c r="D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 ht="12.75" customHeight="1">
      <c r="D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 ht="12.75" customHeight="1">
      <c r="D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 ht="12.75" customHeight="1">
      <c r="D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 ht="12.75" customHeight="1">
      <c r="D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 ht="12.75" customHeight="1">
      <c r="D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 ht="12.75" customHeight="1">
      <c r="D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 ht="12.75" customHeight="1">
      <c r="D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 ht="12.75" customHeight="1">
      <c r="D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 ht="12.75" customHeight="1">
      <c r="D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 ht="12.75" customHeight="1">
      <c r="D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 ht="12.75" customHeight="1">
      <c r="D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 ht="12.75" customHeight="1">
      <c r="D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 ht="12.75" customHeight="1">
      <c r="D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 ht="12.75" customHeight="1">
      <c r="D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 ht="12.75" customHeight="1">
      <c r="D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 ht="12.75" customHeight="1">
      <c r="D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 ht="12.75" customHeight="1">
      <c r="D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 ht="12.75" customHeight="1">
      <c r="D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 ht="12.75" customHeight="1">
      <c r="D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 ht="12.75" customHeight="1">
      <c r="D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 ht="12.75" customHeight="1">
      <c r="D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 ht="12.75" customHeight="1">
      <c r="D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 ht="12.75" customHeight="1">
      <c r="D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 ht="12.75" customHeight="1">
      <c r="D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 ht="12.75" customHeight="1">
      <c r="D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 ht="12.75" customHeight="1">
      <c r="D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 ht="12.75" customHeight="1">
      <c r="D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 ht="12.75" customHeight="1">
      <c r="D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 ht="12.75" customHeight="1">
      <c r="D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 ht="12.75" customHeight="1">
      <c r="D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 ht="12.75" customHeight="1">
      <c r="D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 ht="12.75" customHeight="1">
      <c r="D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 ht="12.75" customHeight="1">
      <c r="D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 ht="12.75" customHeight="1">
      <c r="D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 ht="12.75" customHeight="1">
      <c r="D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 ht="12.75" customHeight="1">
      <c r="D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 ht="12.75" customHeight="1">
      <c r="D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 ht="12.75" customHeight="1">
      <c r="D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 ht="12.75" customHeight="1">
      <c r="D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 ht="12.75" customHeight="1">
      <c r="D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 ht="12.75" customHeight="1">
      <c r="D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 ht="12.75" customHeight="1">
      <c r="D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 ht="12.75" customHeight="1">
      <c r="D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 ht="12.75" customHeight="1">
      <c r="D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 ht="12.75" customHeight="1">
      <c r="D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 ht="12.75" customHeight="1">
      <c r="D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 ht="12.75" customHeight="1">
      <c r="D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 ht="12.75" customHeight="1">
      <c r="D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 ht="12.75" customHeight="1">
      <c r="D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 ht="12.75" customHeight="1">
      <c r="D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 ht="12.75" customHeight="1">
      <c r="D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 ht="12.75" customHeight="1">
      <c r="D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 ht="12.75" customHeight="1">
      <c r="D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 ht="12.75" customHeight="1">
      <c r="D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 ht="12.75" customHeight="1">
      <c r="D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 ht="12.75" customHeight="1">
      <c r="D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 ht="12.75" customHeight="1">
      <c r="D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 ht="12.75" customHeight="1">
      <c r="D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 ht="12.75" customHeight="1">
      <c r="D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 ht="12.75" customHeight="1">
      <c r="D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 ht="12.75" customHeight="1">
      <c r="D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 ht="12.75" customHeight="1">
      <c r="D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 ht="12.75" customHeight="1">
      <c r="D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 ht="12.75" customHeight="1">
      <c r="D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 ht="12.75" customHeight="1">
      <c r="D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 ht="12.75" customHeight="1">
      <c r="D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 ht="12.75" customHeight="1">
      <c r="D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 ht="12.75" customHeight="1">
      <c r="D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 ht="12.75" customHeight="1">
      <c r="D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 ht="12.75" customHeight="1">
      <c r="D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 ht="12.75" customHeight="1">
      <c r="D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 ht="12.75" customHeight="1">
      <c r="D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 ht="12.75" customHeight="1">
      <c r="D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 ht="12.75" customHeight="1">
      <c r="D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 ht="12.75" customHeight="1">
      <c r="D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 ht="12.75" customHeight="1">
      <c r="D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 ht="12.75" customHeight="1">
      <c r="D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 ht="12.75" customHeight="1">
      <c r="D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 ht="12.75" customHeight="1">
      <c r="D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 ht="12.75" customHeight="1">
      <c r="D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 ht="12.75" customHeight="1">
      <c r="D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 ht="12.75" customHeight="1">
      <c r="D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 ht="12.75" customHeight="1">
      <c r="D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 ht="12.75" customHeight="1">
      <c r="D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 ht="12.75" customHeight="1">
      <c r="D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 ht="12.75" customHeight="1">
      <c r="D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 ht="12.75" customHeight="1">
      <c r="D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 ht="12.75" customHeight="1">
      <c r="D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 ht="12.75" customHeight="1">
      <c r="D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 ht="12.75" customHeight="1">
      <c r="D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 ht="12.75" customHeight="1">
      <c r="D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 ht="12.75" customHeight="1">
      <c r="D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 ht="12.75" customHeight="1">
      <c r="D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 ht="12.75" customHeight="1">
      <c r="D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 ht="12.75" customHeight="1">
      <c r="D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 ht="12.75" customHeight="1">
      <c r="D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 ht="12.75" customHeight="1">
      <c r="D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 ht="12.75" customHeight="1">
      <c r="D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 ht="12.75" customHeight="1">
      <c r="D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 ht="12.75" customHeight="1">
      <c r="D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 ht="12.75" customHeight="1">
      <c r="D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 ht="12.75" customHeight="1">
      <c r="D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 ht="12.75" customHeight="1">
      <c r="D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 ht="12.75" customHeight="1">
      <c r="D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 ht="12.75" customHeight="1">
      <c r="D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 ht="12.75" customHeight="1">
      <c r="D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 ht="12.75" customHeight="1">
      <c r="D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 ht="12.75" customHeight="1">
      <c r="D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 ht="12.75" customHeight="1">
      <c r="D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 ht="12.75" customHeight="1">
      <c r="D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 ht="12.75" customHeight="1">
      <c r="D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 ht="12.75" customHeight="1">
      <c r="D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 ht="12.75" customHeight="1">
      <c r="D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 ht="12.75" customHeight="1">
      <c r="D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 ht="12.75" customHeight="1">
      <c r="D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 ht="12.75" customHeight="1">
      <c r="D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 ht="12.75" customHeight="1">
      <c r="D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 ht="12.75" customHeight="1">
      <c r="D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 ht="12.75" customHeight="1">
      <c r="D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 ht="12.75" customHeight="1">
      <c r="D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 ht="12.75" customHeight="1">
      <c r="D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 ht="12.75" customHeight="1">
      <c r="D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 ht="12.75" customHeight="1">
      <c r="D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 ht="12.75" customHeight="1">
      <c r="D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 ht="12.75" customHeight="1">
      <c r="D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 ht="12.75" customHeight="1">
      <c r="D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 ht="12.75" customHeight="1">
      <c r="D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 ht="12.75" customHeight="1">
      <c r="D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 ht="12.75" customHeight="1">
      <c r="D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 ht="12.75" customHeight="1">
      <c r="D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 ht="12.75" customHeight="1">
      <c r="D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 ht="12.75" customHeight="1">
      <c r="D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 ht="12.75" customHeight="1">
      <c r="D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 ht="12.75" customHeight="1">
      <c r="D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 ht="12.75" customHeight="1">
      <c r="D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 ht="12.75" customHeight="1">
      <c r="D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 ht="12.75" customHeight="1">
      <c r="D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 ht="12.75" customHeight="1">
      <c r="D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 ht="12.75" customHeight="1">
      <c r="D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 ht="12.75" customHeight="1">
      <c r="D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 ht="12.75" customHeight="1">
      <c r="D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 ht="12.75" customHeight="1">
      <c r="D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 ht="12.75" customHeight="1">
      <c r="D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 ht="12.75" customHeight="1">
      <c r="D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 ht="12.75" customHeight="1">
      <c r="D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 ht="12.75" customHeight="1">
      <c r="D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 ht="12.75" customHeight="1">
      <c r="D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 ht="12.75" customHeight="1">
      <c r="D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 ht="12.75" customHeight="1">
      <c r="D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 ht="12.75" customHeight="1">
      <c r="D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 ht="12.75" customHeight="1">
      <c r="D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 ht="12.75" customHeight="1">
      <c r="D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 ht="12.75" customHeight="1">
      <c r="D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 ht="12.75" customHeight="1">
      <c r="D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 ht="12.75" customHeight="1">
      <c r="D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 ht="12.75" customHeight="1">
      <c r="D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 ht="12.75" customHeight="1">
      <c r="D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 ht="12.75" customHeight="1">
      <c r="D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 ht="12.75" customHeight="1">
      <c r="D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 ht="12.75" customHeight="1">
      <c r="D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 ht="12.75" customHeight="1">
      <c r="D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 ht="12.75" customHeight="1">
      <c r="D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 ht="12.75" customHeight="1">
      <c r="D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 ht="12.75" customHeight="1">
      <c r="D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 ht="12.75" customHeight="1">
      <c r="D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 ht="12.75" customHeight="1">
      <c r="D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 ht="12.75" customHeight="1">
      <c r="D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 ht="12.75" customHeight="1">
      <c r="D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 ht="12.75" customHeight="1">
      <c r="D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 ht="12.75" customHeight="1">
      <c r="D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 ht="12.75" customHeight="1">
      <c r="D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 ht="12.75" customHeight="1">
      <c r="D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 ht="12.75" customHeight="1">
      <c r="D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 ht="12.75" customHeight="1">
      <c r="D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 ht="12.75" customHeight="1">
      <c r="D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 ht="12.75" customHeight="1">
      <c r="D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 ht="12.75" customHeight="1">
      <c r="D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 ht="12.75" customHeight="1">
      <c r="D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 ht="12.75" customHeight="1">
      <c r="D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 ht="12.75" customHeight="1">
      <c r="D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 ht="12.75" customHeight="1">
      <c r="D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 ht="12.75" customHeight="1">
      <c r="D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 ht="12.75" customHeight="1">
      <c r="D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 ht="12.75" customHeight="1">
      <c r="D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 ht="12.75" customHeight="1">
      <c r="D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 ht="12.75" customHeight="1">
      <c r="D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 ht="12.75" customHeight="1">
      <c r="D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 ht="12.75" customHeight="1">
      <c r="D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 ht="12.75" customHeight="1">
      <c r="D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 ht="12.75" customHeight="1">
      <c r="D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 ht="12.75" customHeight="1">
      <c r="D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 ht="12.75" customHeight="1">
      <c r="D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 ht="12.75" customHeight="1">
      <c r="D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 ht="12.75" customHeight="1">
      <c r="D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 ht="12.75" customHeight="1">
      <c r="D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 ht="12.75" customHeight="1">
      <c r="D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 ht="12.75" customHeight="1">
      <c r="D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 ht="12.75" customHeight="1">
      <c r="D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 ht="12.75" customHeight="1">
      <c r="D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 ht="12.75" customHeight="1">
      <c r="D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 ht="12.75" customHeight="1">
      <c r="D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 ht="12.75" customHeight="1">
      <c r="D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 ht="12.75" customHeight="1">
      <c r="D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 ht="12.75" customHeight="1">
      <c r="D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 ht="12.75" customHeight="1">
      <c r="D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 ht="12.75" customHeight="1">
      <c r="D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 ht="12.75" customHeight="1">
      <c r="D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 ht="12.75" customHeight="1">
      <c r="D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 ht="12.75" customHeight="1">
      <c r="D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 ht="12.75" customHeight="1">
      <c r="D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 ht="12.75" customHeight="1">
      <c r="D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 ht="12.75" customHeight="1">
      <c r="D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 ht="12.75" customHeight="1">
      <c r="D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 ht="12.75" customHeight="1">
      <c r="D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 ht="12.75" customHeight="1">
      <c r="D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 ht="12.75" customHeight="1">
      <c r="D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 ht="12.75" customHeight="1">
      <c r="D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 ht="12.75" customHeight="1">
      <c r="D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 ht="12.75" customHeight="1">
      <c r="D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 ht="12.75" customHeight="1">
      <c r="D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 ht="12.75" customHeight="1">
      <c r="D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 ht="12.75" customHeight="1">
      <c r="D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 ht="12.75" customHeight="1">
      <c r="D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 ht="12.75" customHeight="1">
      <c r="D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 ht="12.75" customHeight="1">
      <c r="D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 ht="12.75" customHeight="1">
      <c r="D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 ht="12.75" customHeight="1">
      <c r="D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 ht="12.75" customHeight="1">
      <c r="D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 ht="12.75" customHeight="1">
      <c r="D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 ht="12.75" customHeight="1">
      <c r="D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 ht="12.75" customHeight="1">
      <c r="D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 ht="12.75" customHeight="1">
      <c r="D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 ht="12.75" customHeight="1">
      <c r="D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 ht="12.75" customHeight="1">
      <c r="D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 ht="12.75" customHeight="1">
      <c r="D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 ht="12.75" customHeight="1">
      <c r="D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 ht="12.75" customHeight="1">
      <c r="D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 ht="12.75" customHeight="1">
      <c r="D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 ht="12.75" customHeight="1">
      <c r="D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 ht="12.75" customHeight="1">
      <c r="D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 ht="12.75" customHeight="1">
      <c r="D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 ht="12.75" customHeight="1">
      <c r="D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 ht="12.75" customHeight="1">
      <c r="D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 ht="12.75" customHeight="1">
      <c r="D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 ht="12.75" customHeight="1">
      <c r="D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 ht="12.75" customHeight="1">
      <c r="D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 ht="12.75" customHeight="1">
      <c r="D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 ht="12.75" customHeight="1">
      <c r="D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 ht="12.75" customHeight="1">
      <c r="D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 ht="12.75" customHeight="1">
      <c r="D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 ht="12.75" customHeight="1">
      <c r="D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 ht="12.75" customHeight="1">
      <c r="D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 ht="12.75" customHeight="1">
      <c r="D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 ht="12.75" customHeight="1">
      <c r="D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 ht="12.75" customHeight="1">
      <c r="D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 ht="12.75" customHeight="1">
      <c r="D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 ht="12.75" customHeight="1">
      <c r="D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 ht="12.75" customHeight="1">
      <c r="D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 ht="12.75" customHeight="1">
      <c r="D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 ht="12.75" customHeight="1">
      <c r="D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 ht="12.75" customHeight="1">
      <c r="D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 ht="12.75" customHeight="1">
      <c r="D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 ht="12.75" customHeight="1">
      <c r="D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 ht="12.75" customHeight="1">
      <c r="D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 ht="12.75" customHeight="1">
      <c r="D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 ht="12.75" customHeight="1">
      <c r="D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 ht="12.75" customHeight="1">
      <c r="D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 ht="12.75" customHeight="1">
      <c r="D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 ht="12.75" customHeight="1">
      <c r="D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 ht="12.75" customHeight="1">
      <c r="D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 ht="12.75" customHeight="1">
      <c r="D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 ht="12.75" customHeight="1">
      <c r="D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 ht="12.75" customHeight="1">
      <c r="D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 ht="12.75" customHeight="1">
      <c r="D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 ht="12.75" customHeight="1">
      <c r="D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 ht="12.75" customHeight="1">
      <c r="D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 ht="12.75" customHeight="1">
      <c r="D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 ht="12.75" customHeight="1">
      <c r="D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 ht="12.75" customHeight="1">
      <c r="D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 ht="12.75" customHeight="1">
      <c r="D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 ht="12.75" customHeight="1">
      <c r="D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 ht="12.75" customHeight="1">
      <c r="D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 ht="12.75" customHeight="1">
      <c r="D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 ht="12.75" customHeight="1">
      <c r="D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 ht="12.75" customHeight="1">
      <c r="D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 ht="12.75" customHeight="1">
      <c r="D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 ht="12.75" customHeight="1">
      <c r="D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 ht="12.75" customHeight="1">
      <c r="D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 ht="12.75" customHeight="1">
      <c r="D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 ht="12.75" customHeight="1">
      <c r="D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 ht="12.75" customHeight="1">
      <c r="D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 ht="12.75" customHeight="1">
      <c r="D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 ht="12.75" customHeight="1">
      <c r="D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 ht="12.75" customHeight="1">
      <c r="D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 ht="12.75" customHeight="1">
      <c r="D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 ht="12.75" customHeight="1">
      <c r="D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 ht="12.75" customHeight="1">
      <c r="D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 ht="12.75" customHeight="1">
      <c r="D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 ht="12.75" customHeight="1">
      <c r="D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 ht="12.75" customHeight="1">
      <c r="D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 ht="12.75" customHeight="1">
      <c r="D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 ht="12.75" customHeight="1">
      <c r="D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 ht="12.75" customHeight="1">
      <c r="D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 ht="12.75" customHeight="1">
      <c r="D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 ht="12.75" customHeight="1">
      <c r="D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 ht="12.75" customHeight="1">
      <c r="D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 ht="12.75" customHeight="1">
      <c r="D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 ht="12.75" customHeight="1">
      <c r="D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 ht="12.75" customHeight="1">
      <c r="D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 ht="12.75" customHeight="1">
      <c r="D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 ht="12.75" customHeight="1">
      <c r="D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 ht="12.75" customHeight="1">
      <c r="D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 ht="12.75" customHeight="1">
      <c r="D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 ht="12.75" customHeight="1">
      <c r="D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 ht="12.75" customHeight="1">
      <c r="D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</row>
    <row r="839" ht="12.75" customHeight="1">
      <c r="D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 ht="12.75" customHeight="1">
      <c r="D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 ht="12.75" customHeight="1">
      <c r="D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 ht="12.75" customHeight="1">
      <c r="D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 ht="12.75" customHeight="1">
      <c r="D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 ht="12.75" customHeight="1">
      <c r="D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 ht="12.75" customHeight="1">
      <c r="D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 ht="12.75" customHeight="1">
      <c r="D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 ht="12.75" customHeight="1">
      <c r="D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 ht="12.75" customHeight="1">
      <c r="D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 ht="12.75" customHeight="1">
      <c r="D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 ht="12.75" customHeight="1">
      <c r="D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 ht="12.75" customHeight="1">
      <c r="D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 ht="12.75" customHeight="1">
      <c r="D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 ht="12.75" customHeight="1">
      <c r="D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 ht="12.75" customHeight="1">
      <c r="D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 ht="12.75" customHeight="1">
      <c r="D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 ht="12.75" customHeight="1">
      <c r="D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 ht="12.75" customHeight="1">
      <c r="D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 ht="12.75" customHeight="1">
      <c r="D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 ht="12.75" customHeight="1">
      <c r="D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 ht="12.75" customHeight="1">
      <c r="D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 ht="12.75" customHeight="1">
      <c r="D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 ht="12.75" customHeight="1">
      <c r="D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 ht="12.75" customHeight="1">
      <c r="D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 ht="12.75" customHeight="1">
      <c r="D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 ht="12.75" customHeight="1">
      <c r="D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 ht="12.75" customHeight="1">
      <c r="D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 ht="12.75" customHeight="1">
      <c r="D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 ht="12.75" customHeight="1">
      <c r="D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 ht="12.75" customHeight="1">
      <c r="D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 ht="12.75" customHeight="1">
      <c r="D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</row>
    <row r="871" ht="12.75" customHeight="1">
      <c r="D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</row>
    <row r="872" ht="12.75" customHeight="1">
      <c r="D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 ht="12.75" customHeight="1">
      <c r="D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 ht="12.75" customHeight="1">
      <c r="D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</row>
    <row r="875" ht="12.75" customHeight="1">
      <c r="D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 ht="12.75" customHeight="1">
      <c r="D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</row>
    <row r="877" ht="12.75" customHeight="1">
      <c r="D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</row>
    <row r="878" ht="12.75" customHeight="1">
      <c r="D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 ht="12.75" customHeight="1">
      <c r="D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 ht="12.75" customHeight="1">
      <c r="D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</row>
    <row r="881" ht="12.75" customHeight="1">
      <c r="D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 ht="12.75" customHeight="1">
      <c r="D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</row>
    <row r="883" ht="12.75" customHeight="1">
      <c r="D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</row>
    <row r="884" ht="12.75" customHeight="1">
      <c r="D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</row>
    <row r="885" ht="12.75" customHeight="1">
      <c r="D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</row>
    <row r="886" ht="12.75" customHeight="1">
      <c r="D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 ht="12.75" customHeight="1">
      <c r="D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</row>
    <row r="888" ht="12.75" customHeight="1">
      <c r="D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 ht="12.75" customHeight="1">
      <c r="D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</row>
    <row r="890" ht="12.75" customHeight="1">
      <c r="D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 ht="12.75" customHeight="1">
      <c r="D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</row>
    <row r="892" ht="12.75" customHeight="1">
      <c r="D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 ht="12.75" customHeight="1">
      <c r="D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</row>
    <row r="894" ht="12.75" customHeight="1">
      <c r="D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</row>
    <row r="895" ht="12.75" customHeight="1">
      <c r="D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 ht="12.75" customHeight="1">
      <c r="D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</row>
    <row r="897" ht="12.75" customHeight="1">
      <c r="D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 ht="12.75" customHeight="1">
      <c r="D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</row>
    <row r="899" ht="12.75" customHeight="1">
      <c r="D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</row>
    <row r="900" ht="12.75" customHeight="1">
      <c r="D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</row>
    <row r="901" ht="12.75" customHeight="1">
      <c r="D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</row>
    <row r="902" ht="12.75" customHeight="1">
      <c r="D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 ht="12.75" customHeight="1">
      <c r="D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 ht="12.75" customHeight="1">
      <c r="D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 ht="12.75" customHeight="1">
      <c r="D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  <row r="906" ht="12.75" customHeight="1">
      <c r="D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</row>
    <row r="907" ht="12.75" customHeight="1">
      <c r="D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</row>
    <row r="908" ht="12.75" customHeight="1">
      <c r="D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</row>
    <row r="909" ht="12.75" customHeight="1">
      <c r="D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</row>
    <row r="910" ht="12.75" customHeight="1">
      <c r="D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</row>
    <row r="911" ht="12.75" customHeight="1">
      <c r="D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</row>
    <row r="912" ht="12.75" customHeight="1">
      <c r="D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</row>
    <row r="913" ht="12.75" customHeight="1">
      <c r="D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</row>
    <row r="914" ht="12.75" customHeight="1">
      <c r="D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</row>
    <row r="915" ht="12.75" customHeight="1">
      <c r="D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</row>
    <row r="916" ht="12.75" customHeight="1">
      <c r="D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</row>
    <row r="917" ht="12.75" customHeight="1">
      <c r="D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</row>
    <row r="918" ht="12.75" customHeight="1">
      <c r="D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</row>
    <row r="919" ht="12.75" customHeight="1">
      <c r="D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</row>
    <row r="920" ht="12.75" customHeight="1">
      <c r="D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</row>
    <row r="921" ht="12.75" customHeight="1">
      <c r="D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</row>
    <row r="922" ht="12.75" customHeight="1">
      <c r="D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</row>
    <row r="923" ht="12.75" customHeight="1">
      <c r="D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</row>
    <row r="924" ht="12.75" customHeight="1">
      <c r="D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</row>
    <row r="925" ht="12.75" customHeight="1">
      <c r="D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</row>
    <row r="926" ht="12.75" customHeight="1">
      <c r="D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</row>
    <row r="927" ht="12.75" customHeight="1">
      <c r="D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</row>
    <row r="928" ht="12.75" customHeight="1">
      <c r="D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</row>
    <row r="929" ht="12.75" customHeight="1">
      <c r="D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</row>
    <row r="930" ht="12.75" customHeight="1">
      <c r="D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</row>
    <row r="931" ht="12.75" customHeight="1">
      <c r="D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</row>
    <row r="932" ht="12.75" customHeight="1">
      <c r="D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</row>
    <row r="933" ht="12.75" customHeight="1">
      <c r="D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</row>
    <row r="934" ht="12.75" customHeight="1">
      <c r="D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</row>
    <row r="935" ht="12.75" customHeight="1">
      <c r="D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</row>
    <row r="936" ht="12.75" customHeight="1">
      <c r="D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</row>
    <row r="937" ht="12.75" customHeight="1">
      <c r="D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</row>
    <row r="938" ht="12.75" customHeight="1">
      <c r="D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</row>
    <row r="939" ht="12.75" customHeight="1">
      <c r="D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</row>
    <row r="940" ht="12.75" customHeight="1">
      <c r="D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</row>
    <row r="941" ht="12.75" customHeight="1">
      <c r="D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</row>
    <row r="942" ht="12.75" customHeight="1">
      <c r="D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</row>
    <row r="943" ht="12.75" customHeight="1">
      <c r="D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</row>
    <row r="944" ht="12.75" customHeight="1">
      <c r="D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</row>
    <row r="945" ht="12.75" customHeight="1">
      <c r="D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</row>
    <row r="946" ht="12.75" customHeight="1">
      <c r="D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</row>
    <row r="947" ht="12.75" customHeight="1">
      <c r="D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</row>
    <row r="948" ht="12.75" customHeight="1">
      <c r="D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</row>
    <row r="949" ht="12.75" customHeight="1">
      <c r="D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</row>
    <row r="950" ht="12.75" customHeight="1">
      <c r="D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</row>
    <row r="951" ht="12.75" customHeight="1">
      <c r="D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</row>
    <row r="952" ht="12.75" customHeight="1">
      <c r="D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</row>
    <row r="953" ht="12.75" customHeight="1">
      <c r="D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</row>
    <row r="954" ht="12.75" customHeight="1">
      <c r="D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</row>
    <row r="955" ht="12.75" customHeight="1">
      <c r="D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</row>
    <row r="956" ht="12.75" customHeight="1">
      <c r="D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</row>
    <row r="957" ht="12.75" customHeight="1">
      <c r="D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</row>
    <row r="958" ht="12.75" customHeight="1">
      <c r="D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</row>
    <row r="959" ht="12.75" customHeight="1">
      <c r="D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</row>
    <row r="960" ht="12.75" customHeight="1">
      <c r="D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</row>
    <row r="961" ht="12.75" customHeight="1">
      <c r="D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</row>
    <row r="962" ht="12.75" customHeight="1">
      <c r="D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</row>
    <row r="963" ht="12.75" customHeight="1">
      <c r="D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</row>
    <row r="964" ht="12.75" customHeight="1">
      <c r="D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</row>
    <row r="965" ht="12.75" customHeight="1">
      <c r="D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</row>
    <row r="966" ht="12.75" customHeight="1">
      <c r="D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</row>
    <row r="967" ht="12.75" customHeight="1">
      <c r="D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</row>
    <row r="968" ht="12.75" customHeight="1">
      <c r="D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</row>
    <row r="969" ht="12.75" customHeight="1">
      <c r="D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</row>
    <row r="970" ht="12.75" customHeight="1">
      <c r="D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</row>
    <row r="971" ht="12.75" customHeight="1">
      <c r="D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</row>
    <row r="972" ht="12.75" customHeight="1">
      <c r="D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</row>
    <row r="973" ht="12.75" customHeight="1">
      <c r="D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</row>
    <row r="974" ht="12.75" customHeight="1">
      <c r="D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</row>
    <row r="975" ht="12.75" customHeight="1">
      <c r="D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</row>
    <row r="976" ht="12.75" customHeight="1">
      <c r="D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</row>
    <row r="977" ht="12.75" customHeight="1">
      <c r="D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</row>
    <row r="978" ht="12.75" customHeight="1">
      <c r="D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</row>
    <row r="979" ht="12.75" customHeight="1">
      <c r="D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</row>
    <row r="980" ht="12.75" customHeight="1">
      <c r="D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</row>
    <row r="981" ht="12.75" customHeight="1">
      <c r="D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</row>
    <row r="982" ht="12.75" customHeight="1">
      <c r="D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</row>
    <row r="983" ht="12.75" customHeight="1">
      <c r="D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</row>
    <row r="984" ht="12.75" customHeight="1">
      <c r="D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</row>
    <row r="985" ht="12.75" customHeight="1">
      <c r="D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</row>
    <row r="986" ht="12.75" customHeight="1">
      <c r="D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</row>
    <row r="987" ht="12.75" customHeight="1">
      <c r="D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</row>
    <row r="988" ht="12.75" customHeight="1">
      <c r="D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</row>
    <row r="989" ht="12.75" customHeight="1">
      <c r="D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</row>
    <row r="990" ht="12.75" customHeight="1">
      <c r="D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</row>
    <row r="991" ht="12.75" customHeight="1">
      <c r="D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</row>
    <row r="992" ht="12.75" customHeight="1">
      <c r="D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</row>
    <row r="993" ht="12.75" customHeight="1">
      <c r="D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</row>
    <row r="994" ht="12.75" customHeight="1">
      <c r="D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</row>
    <row r="995" ht="12.75" customHeight="1">
      <c r="D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</row>
    <row r="996" ht="12.75" customHeight="1">
      <c r="D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</row>
    <row r="997" ht="12.75" customHeight="1">
      <c r="D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</row>
    <row r="998" ht="12.75" customHeight="1">
      <c r="D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</row>
    <row r="999" ht="12.75" customHeight="1">
      <c r="D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</row>
    <row r="1000" ht="12.75" customHeight="1">
      <c r="D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</row>
  </sheetData>
  <mergeCells count="3">
    <mergeCell ref="D3:H3"/>
    <mergeCell ref="D4:H4"/>
    <mergeCell ref="D5:H5"/>
  </mergeCells>
  <conditionalFormatting sqref="E22:E65 L22:AF65 C26:D65 F26:F67 G26:K65">
    <cfRule type="expression" dxfId="0" priority="1" stopIfTrue="1">
      <formula>$F18="Done"</formula>
    </cfRule>
  </conditionalFormatting>
  <conditionalFormatting sqref="E22:E65 L22:AF65 C26:D65 F26:F67 G26:K65">
    <cfRule type="expression" dxfId="1" priority="2" stopIfTrue="1">
      <formula>$F18="Ongoing"</formula>
    </cfRule>
  </conditionalFormatting>
  <conditionalFormatting sqref="B22:E65 F22:F67 G22:AF65">
    <cfRule type="expression" dxfId="0" priority="3" stopIfTrue="1">
      <formula>$F22="Terminado"</formula>
    </cfRule>
  </conditionalFormatting>
  <conditionalFormatting sqref="B22:E65 F22:F67 G22:AF65">
    <cfRule type="expression" dxfId="1" priority="4" stopIfTrue="1">
      <formula>$F22="En Progreso"</formula>
    </cfRule>
  </conditionalFormatting>
  <dataValidations>
    <dataValidation type="list" allowBlank="1" sqref="F10:F15 F22:F71">
      <formula1>"Por Hacer,En Progreso,Terminado"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25"/>
    <col customWidth="1" min="2" max="2" width="9.13"/>
    <col customWidth="1" min="3" max="3" width="38.38"/>
    <col customWidth="1" min="4" max="4" width="10.75"/>
    <col customWidth="1" min="5" max="5" width="13.75"/>
    <col customWidth="1" min="6" max="6" width="10.88"/>
    <col customWidth="1" min="7" max="7" width="9.63"/>
    <col customWidth="1" min="8" max="32" width="4.38"/>
    <col customWidth="1" min="33" max="33" width="9.13"/>
  </cols>
  <sheetData>
    <row r="1" ht="12.75" customHeight="1">
      <c r="D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ht="10.5" customHeight="1">
      <c r="B2" s="2"/>
      <c r="C2" s="3"/>
      <c r="D2" s="4"/>
      <c r="E2" s="5"/>
      <c r="F2" s="5"/>
      <c r="G2" s="5"/>
      <c r="H2" s="5"/>
      <c r="I2" s="4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4"/>
      <c r="W2" s="5"/>
      <c r="X2" s="5"/>
      <c r="Y2" s="5"/>
      <c r="Z2" s="5"/>
      <c r="AA2" s="5"/>
      <c r="AB2" s="5"/>
      <c r="AC2" s="5"/>
      <c r="AD2" s="5"/>
      <c r="AE2" s="5"/>
      <c r="AF2" s="6"/>
    </row>
    <row r="3" ht="15.0" customHeight="1">
      <c r="B3" s="7"/>
      <c r="C3" s="8" t="s">
        <v>0</v>
      </c>
      <c r="D3" s="9" t="s">
        <v>1</v>
      </c>
      <c r="E3" s="10"/>
      <c r="F3" s="10"/>
      <c r="G3" s="10"/>
      <c r="H3" s="11"/>
      <c r="I3" s="12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2"/>
      <c r="W3" s="13"/>
      <c r="X3" s="13"/>
      <c r="Y3" s="13"/>
      <c r="Z3" s="13"/>
      <c r="AA3" s="13"/>
      <c r="AB3" s="13"/>
      <c r="AC3" s="13"/>
      <c r="AD3" s="13"/>
      <c r="AE3" s="13"/>
      <c r="AF3" s="14"/>
    </row>
    <row r="4" ht="15.0" customHeight="1">
      <c r="B4" s="7"/>
      <c r="C4" s="8" t="s">
        <v>2</v>
      </c>
      <c r="D4" s="15"/>
      <c r="E4" s="10"/>
      <c r="F4" s="10"/>
      <c r="G4" s="10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2"/>
      <c r="W4" s="13"/>
      <c r="X4" s="13"/>
      <c r="Y4" s="13"/>
      <c r="Z4" s="13"/>
      <c r="AA4" s="13"/>
      <c r="AB4" s="13"/>
      <c r="AC4" s="13"/>
      <c r="AD4" s="13"/>
      <c r="AE4" s="13"/>
      <c r="AF4" s="14"/>
    </row>
    <row r="5" ht="15.0" customHeight="1">
      <c r="B5" s="7"/>
      <c r="C5" s="8" t="s">
        <v>3</v>
      </c>
      <c r="D5" s="15"/>
      <c r="E5" s="10"/>
      <c r="F5" s="10"/>
      <c r="G5" s="10"/>
      <c r="H5" s="11"/>
      <c r="I5" s="12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2"/>
      <c r="W5" s="13"/>
      <c r="X5" s="13"/>
      <c r="Y5" s="13"/>
      <c r="Z5" s="13"/>
      <c r="AA5" s="13"/>
      <c r="AB5" s="13"/>
      <c r="AC5" s="13"/>
      <c r="AD5" s="13"/>
      <c r="AE5" s="13"/>
      <c r="AF5" s="14"/>
    </row>
    <row r="6" ht="15.0" customHeight="1">
      <c r="B6" s="16"/>
      <c r="C6" s="17"/>
      <c r="D6" s="18"/>
      <c r="E6" s="18"/>
      <c r="F6" s="18"/>
      <c r="G6" s="18"/>
      <c r="H6" s="18"/>
      <c r="I6" s="19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19"/>
      <c r="W6" s="20"/>
      <c r="X6" s="20"/>
      <c r="Y6" s="20"/>
      <c r="Z6" s="20"/>
      <c r="AA6" s="20"/>
      <c r="AB6" s="20"/>
      <c r="AC6" s="20"/>
      <c r="AD6" s="20"/>
      <c r="AE6" s="20"/>
      <c r="AF6" s="21"/>
    </row>
    <row r="7" ht="12.75" customHeight="1">
      <c r="D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ht="12.75" customHeight="1">
      <c r="C8" s="44">
        <v>4.0</v>
      </c>
      <c r="D8" s="23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</row>
    <row r="9" ht="12.75" customHeight="1">
      <c r="D9" s="1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</row>
    <row r="10" ht="12.75" customHeight="1">
      <c r="D10" s="1"/>
      <c r="F10" s="25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ht="12.75" customHeight="1">
      <c r="D11" s="1"/>
      <c r="F11" s="25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ht="12.75" customHeight="1">
      <c r="D12" s="1"/>
      <c r="F12" s="25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ht="12.75" customHeight="1">
      <c r="D13" s="1"/>
      <c r="F13" s="25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ht="12.75" customHeight="1">
      <c r="D14" s="1"/>
      <c r="F14" s="25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ht="12.75" customHeight="1">
      <c r="D15" s="1"/>
      <c r="F15" s="25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ht="12.75" customHeight="1">
      <c r="B16" s="26"/>
      <c r="C16" s="26" t="s">
        <v>4</v>
      </c>
      <c r="D16" s="27">
        <v>10.0</v>
      </c>
      <c r="E16" s="26"/>
      <c r="F16" s="28"/>
      <c r="G16" s="26" t="s">
        <v>5</v>
      </c>
      <c r="H16" s="26" t="s">
        <v>6</v>
      </c>
      <c r="I16" s="26"/>
      <c r="J16" s="26"/>
      <c r="K16" s="26"/>
      <c r="L16" s="26"/>
      <c r="M16" s="26"/>
      <c r="N16" s="26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</row>
    <row r="17" ht="12.75" customHeight="1">
      <c r="B17" s="26"/>
      <c r="C17" s="26" t="s">
        <v>7</v>
      </c>
      <c r="D17" s="27">
        <v>10.0</v>
      </c>
      <c r="E17" s="26" t="s">
        <v>8</v>
      </c>
      <c r="F17" s="26" t="s">
        <v>9</v>
      </c>
      <c r="G17" s="29">
        <f>SUM(OFFSET(G21,1,0,'Sprint 4'!TaskRows,1))</f>
        <v>95</v>
      </c>
      <c r="H17" s="29">
        <f>IF(AND(SUM(OFFSET(H21,1,0,'Sprint 4'!TaskRows,1))=0),0,SUM(OFFSET(H21,1,0,'Sprint 4'!TaskRows,1)))</f>
        <v>95</v>
      </c>
      <c r="I17" s="29">
        <f>IF(AND(SUM(OFFSET(I21,1,0,'Sprint 4'!TaskRows,1))=0),"",SUM(OFFSET(I21,1,0,'Sprint 4'!TaskRows,1)))</f>
        <v>130</v>
      </c>
      <c r="J17" s="29">
        <f>IF(AND(SUM(OFFSET(J21,1,0,'Sprint 4'!TaskRows,1))=0),"",SUM(OFFSET(J21,1,0,'Sprint 4'!TaskRows,1)))</f>
        <v>140</v>
      </c>
      <c r="K17" s="29">
        <f>IF(AND(SUM(OFFSET(K21,1,0,'Sprint 4'!TaskRows,1))=0),"",SUM(OFFSET(K21,1,0,'Sprint 4'!TaskRows,1)))</f>
        <v>134</v>
      </c>
      <c r="L17" s="29">
        <f>IF(AND(SUM(OFFSET(L21,1,0,'Sprint 4'!TaskRows,1))=0),"",SUM(OFFSET(L21,1,0,'Sprint 4'!TaskRows,1)))</f>
        <v>125</v>
      </c>
      <c r="M17" s="29">
        <f>IF(AND(SUM(OFFSET(M21,1,0,'Sprint 4'!TaskRows,1))=0),"",SUM(OFFSET(M21,1,0,'Sprint 4'!TaskRows,1)))</f>
        <v>115</v>
      </c>
      <c r="N17" s="29">
        <f>IF(AND(SUM(OFFSET(N21,1,0,'Sprint 4'!TaskRows,1))=0),"",SUM(OFFSET(N21,1,0,'Sprint 4'!TaskRows,1)))</f>
        <v>106</v>
      </c>
      <c r="O17" s="29">
        <f>IF(AND(SUM(OFFSET(O21,1,0,'Sprint 4'!TaskRows,1))=0),"",SUM(OFFSET(O21,1,0,'Sprint 4'!TaskRows,1)))</f>
        <v>101</v>
      </c>
      <c r="P17" s="29">
        <f>IF(AND(SUM(OFFSET(P21,1,0,'Sprint 4'!TaskRows,1))=0),"",SUM(OFFSET(P21,1,0,'Sprint 4'!TaskRows,1)))</f>
        <v>97</v>
      </c>
      <c r="Q17" s="29">
        <f>IF(AND(SUM(OFFSET(Q21,1,0,'Sprint 4'!TaskRows,1))=0),"",SUM(OFFSET(Q21,1,0,'Sprint 4'!TaskRows,1)))</f>
        <v>97</v>
      </c>
      <c r="R17" s="29" t="str">
        <f>IF(AND(SUM(OFFSET(R21,1,0,'Sprint 4'!TaskRows,1))=0),"",SUM(OFFSET(R21,1,0,'Sprint 4'!TaskRows,1)))</f>
        <v/>
      </c>
      <c r="S17" s="29" t="str">
        <f>IF(AND(SUM(OFFSET(S21,1,0,'Sprint 4'!TaskRows,1))=0),"",SUM(OFFSET(S21,1,0,'Sprint 4'!TaskRows,1)))</f>
        <v/>
      </c>
      <c r="T17" s="29" t="str">
        <f>IF(AND(SUM(OFFSET(T21,1,0,'Sprint 4'!TaskRows,1))=0),"",SUM(OFFSET(T21,1,0,'Sprint 4'!TaskRows,1)))</f>
        <v/>
      </c>
      <c r="U17" s="29" t="str">
        <f>IF(AND(SUM(OFFSET(U21,1,0,'Sprint 4'!TaskRows,1))=0),"",SUM(OFFSET(U21,1,0,'Sprint 4'!TaskRows,1)))</f>
        <v/>
      </c>
      <c r="V17" s="29" t="str">
        <f>IF(AND(SUM(OFFSET(V21,1,0,'Sprint 4'!TaskRows,1))=0),"",SUM(OFFSET(V21,1,0,'Sprint 4'!TaskRows,1)))</f>
        <v/>
      </c>
      <c r="W17" s="29" t="str">
        <f>IF(AND(SUM(OFFSET(W21,1,0,'Sprint 4'!TaskRows,1))=0),"",SUM(OFFSET(W21,1,0,'Sprint 4'!TaskRows,1)))</f>
        <v/>
      </c>
      <c r="X17" s="29" t="str">
        <f>IF(AND(SUM(OFFSET(X21,1,0,'Sprint 4'!TaskRows,1))=0),"",SUM(OFFSET(X21,1,0,'Sprint 4'!TaskRows,1)))</f>
        <v/>
      </c>
      <c r="Y17" s="29" t="str">
        <f>IF(AND(SUM(OFFSET(Y21,1,0,'Sprint 4'!TaskRows,1))=0),"",SUM(OFFSET(Y21,1,0,'Sprint 4'!TaskRows,1)))</f>
        <v/>
      </c>
      <c r="Z17" s="29" t="str">
        <f>IF(AND(SUM(OFFSET(Z21,1,0,'Sprint 4'!TaskRows,1))=0),"",SUM(OFFSET(Z21,1,0,'Sprint 4'!TaskRows,1)))</f>
        <v/>
      </c>
      <c r="AA17" s="29" t="str">
        <f>IF(AND(SUM(OFFSET(AA21,1,0,'Sprint 4'!TaskRows,1))=0),"",SUM(OFFSET(AA21,1,0,'Sprint 4'!TaskRows,1)))</f>
        <v/>
      </c>
      <c r="AB17" s="29" t="str">
        <f>IF(AND(SUM(OFFSET(AB21,1,0,'Sprint 4'!TaskRows,1))=0),"",SUM(OFFSET(AB21,1,0,'Sprint 4'!TaskRows,1)))</f>
        <v/>
      </c>
      <c r="AC17" s="29" t="str">
        <f>IF(AND(SUM(OFFSET(AC21,1,0,'Sprint 4'!TaskRows,1))=0),"",SUM(OFFSET(AC21,1,0,'Sprint 4'!TaskRows,1)))</f>
        <v/>
      </c>
      <c r="AD17" s="29" t="str">
        <f>IF(AND(SUM(OFFSET(AD21,1,0,'Sprint 4'!TaskRows,1))=0),"",SUM(OFFSET(AD21,1,0,'Sprint 4'!TaskRows,1)))</f>
        <v/>
      </c>
      <c r="AE17" s="29" t="str">
        <f>IF(AND(SUM(OFFSET(AE21,1,0,'Sprint 4'!TaskRows,1))=0),"",SUM(OFFSET(AE21,1,0,'Sprint 4'!TaskRows,1)))</f>
        <v/>
      </c>
      <c r="AF17" s="29" t="str">
        <f>IF(AND(SUM(OFFSET(AF21,1,0,'Sprint 4'!TaskRows,1))=0),"",SUM(OFFSET(AF21,1,0,'Sprint 4'!TaskRows,1)))</f>
        <v/>
      </c>
    </row>
    <row r="18" ht="12.75" hidden="1" customHeight="1">
      <c r="C18" s="25" t="s">
        <v>10</v>
      </c>
      <c r="D18" s="1">
        <f>IF(COUNTA(C22:C249)=0,1,COUNTA(C22:C249))</f>
        <v>11</v>
      </c>
      <c r="E18" s="25" t="s">
        <v>11</v>
      </c>
      <c r="F18" s="1">
        <f>IF(COUNTIF(H17:AF17,"&gt;0")=0,1,COUNTIF(H17:AF17,"&gt;0"))</f>
        <v>10</v>
      </c>
      <c r="G18" s="1"/>
      <c r="H18" s="1">
        <f>IF(H21="","",$G17-$G17/($D16-1)*(H21-1))</f>
        <v>95</v>
      </c>
      <c r="I18" s="1">
        <f>IF(I21="","",'Sprint 4'!TotalEffort-'Sprint 4'!TotalEffort/('Sprint 4'!ImplementationDays)*(I21-1))</f>
        <v>85.5</v>
      </c>
      <c r="J18" s="1">
        <f>IF(J21="","",'Sprint 4'!TotalEffort-'Sprint 4'!TotalEffort/('Sprint 4'!ImplementationDays)*(J21-1))</f>
        <v>76</v>
      </c>
      <c r="K18" s="1">
        <f>IF(K21="","",'Sprint 4'!TotalEffort-'Sprint 4'!TotalEffort/('Sprint 4'!ImplementationDays)*(K21-1))</f>
        <v>66.5</v>
      </c>
      <c r="L18" s="1">
        <f>IF(L21="","",'Sprint 4'!TotalEffort-'Sprint 4'!TotalEffort/('Sprint 4'!ImplementationDays)*(L21-1))</f>
        <v>57</v>
      </c>
      <c r="M18" s="1">
        <f>IF(M21="","",'Sprint 4'!TotalEffort-'Sprint 4'!TotalEffort/('Sprint 4'!ImplementationDays)*(M21-1))</f>
        <v>47.5</v>
      </c>
      <c r="N18" s="1">
        <f>IF(N21="","",'Sprint 4'!TotalEffort-'Sprint 4'!TotalEffort/('Sprint 4'!ImplementationDays)*(N21-1))</f>
        <v>38</v>
      </c>
      <c r="O18" s="1">
        <f>IF(O21="","",'Sprint 4'!TotalEffort-'Sprint 4'!TotalEffort/('Sprint 4'!ImplementationDays)*(O21-1))</f>
        <v>28.5</v>
      </c>
      <c r="P18" s="1">
        <f>IF(P21="","",'Sprint 4'!TotalEffort-'Sprint 4'!TotalEffort/('Sprint 4'!ImplementationDays)*(P21-1))</f>
        <v>19</v>
      </c>
      <c r="Q18" s="1">
        <f>IF(Q21="","",'Sprint 4'!TotalEffort-'Sprint 4'!TotalEffort/('Sprint 4'!ImplementationDays)*(Q21-1))</f>
        <v>9.5</v>
      </c>
      <c r="R18" s="1" t="str">
        <f>IF(R21="","",'Sprint 4'!TotalEffort-'Sprint 4'!TotalEffort/('Sprint 4'!ImplementationDays)*(R21-1))</f>
        <v/>
      </c>
      <c r="S18" s="1" t="str">
        <f>IF(S21="","",'Sprint 4'!TotalEffort-'Sprint 4'!TotalEffort/('Sprint 4'!ImplementationDays)*(S21-1))</f>
        <v/>
      </c>
      <c r="T18" s="1" t="str">
        <f>IF(T21="","",'Sprint 4'!TotalEffort-'Sprint 4'!TotalEffort/('Sprint 4'!ImplementationDays)*(T21-1))</f>
        <v/>
      </c>
      <c r="U18" s="1" t="str">
        <f>IF(U21="","",'Sprint 4'!TotalEffort-'Sprint 4'!TotalEffort/('Sprint 4'!ImplementationDays)*(U21-1))</f>
        <v/>
      </c>
      <c r="V18" s="1" t="str">
        <f>IF(V21="","",'Sprint 4'!TotalEffort-'Sprint 4'!TotalEffort/('Sprint 4'!ImplementationDays)*(V21-1))</f>
        <v/>
      </c>
      <c r="W18" s="1" t="str">
        <f>IF(W21="","",'Sprint 4'!TotalEffort-'Sprint 4'!TotalEffort/('Sprint 4'!ImplementationDays)*(W21-1))</f>
        <v/>
      </c>
      <c r="X18" s="1" t="str">
        <f>IF(X21="","",'Sprint 4'!TotalEffort-'Sprint 4'!TotalEffort/('Sprint 4'!ImplementationDays)*(X21-1))</f>
        <v/>
      </c>
      <c r="Y18" s="1" t="str">
        <f>IF(Y21="","",'Sprint 4'!TotalEffort-'Sprint 4'!TotalEffort/('Sprint 4'!ImplementationDays)*(Y21-1))</f>
        <v/>
      </c>
      <c r="Z18" s="1" t="str">
        <f>IF(Z21="","",'Sprint 4'!TotalEffort-'Sprint 4'!TotalEffort/('Sprint 4'!ImplementationDays)*(Z21-1))</f>
        <v/>
      </c>
      <c r="AA18" s="1" t="str">
        <f>IF(AA21="","",'Sprint 4'!TotalEffort-'Sprint 4'!TotalEffort/('Sprint 4'!ImplementationDays)*(AA21-1))</f>
        <v/>
      </c>
      <c r="AB18" s="1" t="str">
        <f>IF(AB21="","",'Sprint 4'!TotalEffort-'Sprint 4'!TotalEffort/('Sprint 4'!ImplementationDays)*(AB21-1))</f>
        <v/>
      </c>
      <c r="AC18" s="1" t="str">
        <f>IF(AC21="","",'Sprint 4'!TotalEffort-'Sprint 4'!TotalEffort/('Sprint 4'!ImplementationDays)*(AC21-1))</f>
        <v/>
      </c>
      <c r="AD18" s="1" t="str">
        <f>IF(AD21="","",'Sprint 4'!TotalEffort-'Sprint 4'!TotalEffort/('Sprint 4'!ImplementationDays)*(AD21-1))</f>
        <v/>
      </c>
      <c r="AE18" s="1" t="str">
        <f>IF(AE21="","",'Sprint 4'!TotalEffort-'Sprint 4'!TotalEffort/('Sprint 4'!ImplementationDays)*(AE21-1))</f>
        <v/>
      </c>
      <c r="AF18" s="1" t="str">
        <f>IF(AF21="","",'Sprint 4'!TotalEffort-'Sprint 4'!TotalEffort/('Sprint 4'!ImplementationDays)*(AF21-1))</f>
        <v/>
      </c>
    </row>
    <row r="19" ht="12.75" hidden="1" customHeight="1">
      <c r="C19" s="30" t="s">
        <v>12</v>
      </c>
      <c r="E19" s="25" t="s">
        <v>13</v>
      </c>
      <c r="F19" s="1"/>
      <c r="G19" s="1"/>
      <c r="H19" s="1">
        <f t="array" ref="H19">IF(TREND(OFFSET($H17,0,'Sprint 4'!DoneDays-'Sprint 4'!TrendDays,1,'Sprint 4'!TrendDays),OFFSET($H20,0,'Sprint 4'!DoneDays-'Sprint 4'!TrendDays,1,'Sprint 4'!TrendDays),H20)&lt;0,"",TREND(OFFSET($H17,0,'Sprint 4'!DoneDays-'Sprint 4'!TrendDays,1,'Sprint 4'!TrendDays),OFFSET($H20,0,'Sprint 4'!DoneDays-'Sprint 4'!TrendDays,1,'Sprint 4'!TrendDays),H20))</f>
        <v>127.6909091</v>
      </c>
      <c r="I19" s="1">
        <f t="array" ref="I19">IF(TREND(OFFSET($H17,0,'Sprint 4'!DoneDays-'Sprint 4'!TrendDays,1,'Sprint 4'!TrendDays),OFFSET($H20,0,'Sprint 4'!DoneDays-'Sprint 4'!TrendDays,1,'Sprint 4'!TrendDays),I20)&lt;0,"",TREND(OFFSET($H17,0,'Sprint 4'!DoneDays-'Sprint 4'!TrendDays,1,'Sprint 4'!TrendDays),OFFSET($H20,0,'Sprint 4'!DoneDays-'Sprint 4'!TrendDays,1,'Sprint 4'!TrendDays),I20))</f>
        <v>124.6484848</v>
      </c>
      <c r="J19" s="1">
        <f t="array" ref="J19">IF(TREND(OFFSET($H17,0,'Sprint 4'!DoneDays-'Sprint 4'!TrendDays,1,'Sprint 4'!TrendDays),OFFSET($H20,0,'Sprint 4'!DoneDays-'Sprint 4'!TrendDays,1,'Sprint 4'!TrendDays),J20)&lt;0,"",TREND(OFFSET($H17,0,'Sprint 4'!DoneDays-'Sprint 4'!TrendDays,1,'Sprint 4'!TrendDays),OFFSET($H20,0,'Sprint 4'!DoneDays-'Sprint 4'!TrendDays,1,'Sprint 4'!TrendDays),J20))</f>
        <v>121.6060606</v>
      </c>
      <c r="K19" s="1">
        <f t="array" ref="K19">IF(TREND(OFFSET($H17,0,'Sprint 4'!DoneDays-'Sprint 4'!TrendDays,1,'Sprint 4'!TrendDays),OFFSET($H20,0,'Sprint 4'!DoneDays-'Sprint 4'!TrendDays,1,'Sprint 4'!TrendDays),K20)&lt;0,"",TREND(OFFSET($H17,0,'Sprint 4'!DoneDays-'Sprint 4'!TrendDays,1,'Sprint 4'!TrendDays),OFFSET($H20,0,'Sprint 4'!DoneDays-'Sprint 4'!TrendDays,1,'Sprint 4'!TrendDays),K20))</f>
        <v>118.5636364</v>
      </c>
      <c r="L19" s="1">
        <f t="array" ref="L19">IF(TREND(OFFSET($H17,0,'Sprint 4'!DoneDays-'Sprint 4'!TrendDays,1,'Sprint 4'!TrendDays),OFFSET($H20,0,'Sprint 4'!DoneDays-'Sprint 4'!TrendDays,1,'Sprint 4'!TrendDays),L20)&lt;0,"",TREND(OFFSET($H17,0,'Sprint 4'!DoneDays-'Sprint 4'!TrendDays,1,'Sprint 4'!TrendDays),OFFSET($H20,0,'Sprint 4'!DoneDays-'Sprint 4'!TrendDays,1,'Sprint 4'!TrendDays),L20))</f>
        <v>115.5212121</v>
      </c>
      <c r="M19" s="1">
        <f t="array" ref="M19">IF(TREND(OFFSET($H17,0,'Sprint 4'!DoneDays-'Sprint 4'!TrendDays,1,'Sprint 4'!TrendDays),OFFSET($H20,0,'Sprint 4'!DoneDays-'Sprint 4'!TrendDays,1,'Sprint 4'!TrendDays),M20)&lt;0,"",TREND(OFFSET($H17,0,'Sprint 4'!DoneDays-'Sprint 4'!TrendDays,1,'Sprint 4'!TrendDays),OFFSET($H20,0,'Sprint 4'!DoneDays-'Sprint 4'!TrendDays,1,'Sprint 4'!TrendDays),M20))</f>
        <v>112.4787879</v>
      </c>
      <c r="N19" s="1">
        <f t="array" ref="N19">IF(TREND(OFFSET($H17,0,'Sprint 4'!DoneDays-'Sprint 4'!TrendDays,1,'Sprint 4'!TrendDays),OFFSET($H20,0,'Sprint 4'!DoneDays-'Sprint 4'!TrendDays,1,'Sprint 4'!TrendDays),N20)&lt;0,"",TREND(OFFSET($H17,0,'Sprint 4'!DoneDays-'Sprint 4'!TrendDays,1,'Sprint 4'!TrendDays),OFFSET($H20,0,'Sprint 4'!DoneDays-'Sprint 4'!TrendDays,1,'Sprint 4'!TrendDays),N20))</f>
        <v>109.4363636</v>
      </c>
      <c r="O19" s="1">
        <f t="array" ref="O19">IF(TREND(OFFSET($H17,0,'Sprint 4'!DoneDays-'Sprint 4'!TrendDays,1,'Sprint 4'!TrendDays),OFFSET($H20,0,'Sprint 4'!DoneDays-'Sprint 4'!TrendDays,1,'Sprint 4'!TrendDays),O20)&lt;0,"",TREND(OFFSET($H17,0,'Sprint 4'!DoneDays-'Sprint 4'!TrendDays,1,'Sprint 4'!TrendDays),OFFSET($H20,0,'Sprint 4'!DoneDays-'Sprint 4'!TrendDays,1,'Sprint 4'!TrendDays),O20))</f>
        <v>106.3939394</v>
      </c>
      <c r="P19" s="1">
        <f t="array" ref="P19">IF(TREND(OFFSET($H17,0,'Sprint 4'!DoneDays-'Sprint 4'!TrendDays,1,'Sprint 4'!TrendDays),OFFSET($H20,0,'Sprint 4'!DoneDays-'Sprint 4'!TrendDays,1,'Sprint 4'!TrendDays),P20)&lt;0,"",TREND(OFFSET($H17,0,'Sprint 4'!DoneDays-'Sprint 4'!TrendDays,1,'Sprint 4'!TrendDays),OFFSET($H20,0,'Sprint 4'!DoneDays-'Sprint 4'!TrendDays,1,'Sprint 4'!TrendDays),P20))</f>
        <v>103.3515152</v>
      </c>
      <c r="Q19" s="1">
        <f t="array" ref="Q19">IF(TREND(OFFSET($H17,0,'Sprint 4'!DoneDays-'Sprint 4'!TrendDays,1,'Sprint 4'!TrendDays),OFFSET($H20,0,'Sprint 4'!DoneDays-'Sprint 4'!TrendDays,1,'Sprint 4'!TrendDays),Q20)&lt;0,"",TREND(OFFSET($H17,0,'Sprint 4'!DoneDays-'Sprint 4'!TrendDays,1,'Sprint 4'!TrendDays),OFFSET($H20,0,'Sprint 4'!DoneDays-'Sprint 4'!TrendDays,1,'Sprint 4'!TrendDays),Q20))</f>
        <v>100.3090909</v>
      </c>
      <c r="R19" s="1">
        <f t="array" ref="R19">IF(TREND(OFFSET($H17,0,'Sprint 4'!DoneDays-'Sprint 4'!TrendDays,1,'Sprint 4'!TrendDays),OFFSET($H20,0,'Sprint 4'!DoneDays-'Sprint 4'!TrendDays,1,'Sprint 4'!TrendDays),R20)&lt;0,"",TREND(OFFSET($H17,0,'Sprint 4'!DoneDays-'Sprint 4'!TrendDays,1,'Sprint 4'!TrendDays),OFFSET($H20,0,'Sprint 4'!DoneDays-'Sprint 4'!TrendDays,1,'Sprint 4'!TrendDays),R20))</f>
        <v>97.26666667</v>
      </c>
      <c r="S19" s="1">
        <f t="array" ref="S19">IF(TREND(OFFSET($H17,0,'Sprint 4'!DoneDays-'Sprint 4'!TrendDays,1,'Sprint 4'!TrendDays),OFFSET($H20,0,'Sprint 4'!DoneDays-'Sprint 4'!TrendDays,1,'Sprint 4'!TrendDays),S20)&lt;0,"",TREND(OFFSET($H17,0,'Sprint 4'!DoneDays-'Sprint 4'!TrendDays,1,'Sprint 4'!TrendDays),OFFSET($H20,0,'Sprint 4'!DoneDays-'Sprint 4'!TrendDays,1,'Sprint 4'!TrendDays),S20))</f>
        <v>94.22424242</v>
      </c>
      <c r="T19" s="1">
        <f t="array" ref="T19">IF(TREND(OFFSET($H17,0,'Sprint 4'!DoneDays-'Sprint 4'!TrendDays,1,'Sprint 4'!TrendDays),OFFSET($H20,0,'Sprint 4'!DoneDays-'Sprint 4'!TrendDays,1,'Sprint 4'!TrendDays),T20)&lt;0,"",TREND(OFFSET($H17,0,'Sprint 4'!DoneDays-'Sprint 4'!TrendDays,1,'Sprint 4'!TrendDays),OFFSET($H20,0,'Sprint 4'!DoneDays-'Sprint 4'!TrendDays,1,'Sprint 4'!TrendDays),T20))</f>
        <v>91.18181818</v>
      </c>
      <c r="U19" s="1">
        <f t="array" ref="U19">IF(TREND(OFFSET($H17,0,'Sprint 4'!DoneDays-'Sprint 4'!TrendDays,1,'Sprint 4'!TrendDays),OFFSET($H20,0,'Sprint 4'!DoneDays-'Sprint 4'!TrendDays,1,'Sprint 4'!TrendDays),U20)&lt;0,"",TREND(OFFSET($H17,0,'Sprint 4'!DoneDays-'Sprint 4'!TrendDays,1,'Sprint 4'!TrendDays),OFFSET($H20,0,'Sprint 4'!DoneDays-'Sprint 4'!TrendDays,1,'Sprint 4'!TrendDays),U20))</f>
        <v>88.13939394</v>
      </c>
      <c r="V19" s="1">
        <f t="array" ref="V19">IF(TREND(OFFSET($H17,0,'Sprint 4'!DoneDays-'Sprint 4'!TrendDays,1,'Sprint 4'!TrendDays),OFFSET($H20,0,'Sprint 4'!DoneDays-'Sprint 4'!TrendDays,1,'Sprint 4'!TrendDays),V20)&lt;0,"",TREND(OFFSET($H17,0,'Sprint 4'!DoneDays-'Sprint 4'!TrendDays,1,'Sprint 4'!TrendDays),OFFSET($H20,0,'Sprint 4'!DoneDays-'Sprint 4'!TrendDays,1,'Sprint 4'!TrendDays),V20))</f>
        <v>85.0969697</v>
      </c>
      <c r="W19" s="1">
        <f t="array" ref="W19">IF(TREND(OFFSET($H17,0,'Sprint 4'!DoneDays-'Sprint 4'!TrendDays,1,'Sprint 4'!TrendDays),OFFSET($H20,0,'Sprint 4'!DoneDays-'Sprint 4'!TrendDays,1,'Sprint 4'!TrendDays),W20)&lt;0,"",TREND(OFFSET($H17,0,'Sprint 4'!DoneDays-'Sprint 4'!TrendDays,1,'Sprint 4'!TrendDays),OFFSET($H20,0,'Sprint 4'!DoneDays-'Sprint 4'!TrendDays,1,'Sprint 4'!TrendDays),W20))</f>
        <v>82.05454545</v>
      </c>
      <c r="X19" s="1">
        <f t="array" ref="X19">IF(TREND(OFFSET($H17,0,'Sprint 4'!DoneDays-'Sprint 4'!TrendDays,1,'Sprint 4'!TrendDays),OFFSET($H20,0,'Sprint 4'!DoneDays-'Sprint 4'!TrendDays,1,'Sprint 4'!TrendDays),X20)&lt;0,"",TREND(OFFSET($H17,0,'Sprint 4'!DoneDays-'Sprint 4'!TrendDays,1,'Sprint 4'!TrendDays),OFFSET($H20,0,'Sprint 4'!DoneDays-'Sprint 4'!TrendDays,1,'Sprint 4'!TrendDays),X20))</f>
        <v>79.01212121</v>
      </c>
      <c r="Y19" s="1">
        <f t="array" ref="Y19">IF(TREND(OFFSET($H17,0,'Sprint 4'!DoneDays-'Sprint 4'!TrendDays,1,'Sprint 4'!TrendDays),OFFSET($H20,0,'Sprint 4'!DoneDays-'Sprint 4'!TrendDays,1,'Sprint 4'!TrendDays),Y20)&lt;0,"",TREND(OFFSET($H17,0,'Sprint 4'!DoneDays-'Sprint 4'!TrendDays,1,'Sprint 4'!TrendDays),OFFSET($H20,0,'Sprint 4'!DoneDays-'Sprint 4'!TrendDays,1,'Sprint 4'!TrendDays),Y20))</f>
        <v>75.96969697</v>
      </c>
      <c r="Z19" s="1">
        <f t="array" ref="Z19">IF(TREND(OFFSET($H17,0,'Sprint 4'!DoneDays-'Sprint 4'!TrendDays,1,'Sprint 4'!TrendDays),OFFSET($H20,0,'Sprint 4'!DoneDays-'Sprint 4'!TrendDays,1,'Sprint 4'!TrendDays),Z20)&lt;0,"",TREND(OFFSET($H17,0,'Sprint 4'!DoneDays-'Sprint 4'!TrendDays,1,'Sprint 4'!TrendDays),OFFSET($H20,0,'Sprint 4'!DoneDays-'Sprint 4'!TrendDays,1,'Sprint 4'!TrendDays),Z20))</f>
        <v>72.92727273</v>
      </c>
      <c r="AA19" s="1">
        <f t="array" ref="AA19">IF(TREND(OFFSET($H17,0,'Sprint 4'!DoneDays-'Sprint 4'!TrendDays,1,'Sprint 4'!TrendDays),OFFSET($H20,0,'Sprint 4'!DoneDays-'Sprint 4'!TrendDays,1,'Sprint 4'!TrendDays),AA20)&lt;0,"",TREND(OFFSET($H17,0,'Sprint 4'!DoneDays-'Sprint 4'!TrendDays,1,'Sprint 4'!TrendDays),OFFSET($H20,0,'Sprint 4'!DoneDays-'Sprint 4'!TrendDays,1,'Sprint 4'!TrendDays),AA20))</f>
        <v>69.88484848</v>
      </c>
      <c r="AB19" s="1">
        <f t="array" ref="AB19">IF(TREND(OFFSET($H17,0,'Sprint 4'!DoneDays-'Sprint 4'!TrendDays,1,'Sprint 4'!TrendDays),OFFSET($H20,0,'Sprint 4'!DoneDays-'Sprint 4'!TrendDays,1,'Sprint 4'!TrendDays),AB20)&lt;0,"",TREND(OFFSET($H17,0,'Sprint 4'!DoneDays-'Sprint 4'!TrendDays,1,'Sprint 4'!TrendDays),OFFSET($H20,0,'Sprint 4'!DoneDays-'Sprint 4'!TrendDays,1,'Sprint 4'!TrendDays),AB20))</f>
        <v>66.84242424</v>
      </c>
      <c r="AC19" s="1">
        <f t="array" ref="AC19">IF(TREND(OFFSET($H17,0,'Sprint 4'!DoneDays-'Sprint 4'!TrendDays,1,'Sprint 4'!TrendDays),OFFSET($H20,0,'Sprint 4'!DoneDays-'Sprint 4'!TrendDays,1,'Sprint 4'!TrendDays),AC20)&lt;0,"",TREND(OFFSET($H17,0,'Sprint 4'!DoneDays-'Sprint 4'!TrendDays,1,'Sprint 4'!TrendDays),OFFSET($H20,0,'Sprint 4'!DoneDays-'Sprint 4'!TrendDays,1,'Sprint 4'!TrendDays),AC20))</f>
        <v>63.8</v>
      </c>
      <c r="AD19" s="1">
        <f t="array" ref="AD19">IF(TREND(OFFSET($H17,0,'Sprint 4'!DoneDays-'Sprint 4'!TrendDays,1,'Sprint 4'!TrendDays),OFFSET($H20,0,'Sprint 4'!DoneDays-'Sprint 4'!TrendDays,1,'Sprint 4'!TrendDays),AD20)&lt;0,"",TREND(OFFSET($H17,0,'Sprint 4'!DoneDays-'Sprint 4'!TrendDays,1,'Sprint 4'!TrendDays),OFFSET($H20,0,'Sprint 4'!DoneDays-'Sprint 4'!TrendDays,1,'Sprint 4'!TrendDays),AD20))</f>
        <v>60.75757576</v>
      </c>
      <c r="AE19" s="1">
        <f t="array" ref="AE19">IF(TREND(OFFSET($H17,0,'Sprint 4'!DoneDays-'Sprint 4'!TrendDays,1,'Sprint 4'!TrendDays),OFFSET($H20,0,'Sprint 4'!DoneDays-'Sprint 4'!TrendDays,1,'Sprint 4'!TrendDays),AE20)&lt;0,"",TREND(OFFSET($H17,0,'Sprint 4'!DoneDays-'Sprint 4'!TrendDays,1,'Sprint 4'!TrendDays),OFFSET($H20,0,'Sprint 4'!DoneDays-'Sprint 4'!TrendDays,1,'Sprint 4'!TrendDays),AE20))</f>
        <v>57.71515152</v>
      </c>
      <c r="AF19" s="1">
        <f t="array" ref="AF19">IF(TREND(OFFSET($H17,0,'Sprint 4'!DoneDays-'Sprint 4'!TrendDays,1,'Sprint 4'!TrendDays),OFFSET($H20,0,'Sprint 4'!DoneDays-'Sprint 4'!TrendDays,1,'Sprint 4'!TrendDays),AF20)&lt;0,"",TREND(OFFSET($H17,0,'Sprint 4'!DoneDays-'Sprint 4'!TrendDays,1,'Sprint 4'!TrendDays),OFFSET($H20,0,'Sprint 4'!DoneDays-'Sprint 4'!TrendDays,1,'Sprint 4'!TrendDays),AF20))</f>
        <v>54.67272727</v>
      </c>
    </row>
    <row r="20" ht="12.75" hidden="1" customHeight="1">
      <c r="C20" s="30" t="s">
        <v>14</v>
      </c>
      <c r="E20" s="25" t="s">
        <v>15</v>
      </c>
      <c r="F20" s="1">
        <f>IF('Sprint 4'!DoneDays&gt;D17,D17,'Sprint 4'!DoneDays)</f>
        <v>10</v>
      </c>
      <c r="G20" s="1"/>
      <c r="H20" s="1">
        <f>IF('Sprint 4'!DoneDays&gt;G20,G20+1,"")</f>
        <v>1</v>
      </c>
      <c r="I20" s="1">
        <v>2.0</v>
      </c>
      <c r="J20" s="1">
        <v>3.0</v>
      </c>
      <c r="K20" s="1">
        <v>4.0</v>
      </c>
      <c r="L20" s="1">
        <v>5.0</v>
      </c>
      <c r="M20" s="1">
        <v>6.0</v>
      </c>
      <c r="N20" s="1">
        <v>7.0</v>
      </c>
      <c r="O20" s="1">
        <v>8.0</v>
      </c>
      <c r="P20" s="1">
        <v>9.0</v>
      </c>
      <c r="Q20" s="1">
        <v>10.0</v>
      </c>
      <c r="R20" s="1">
        <v>11.0</v>
      </c>
      <c r="S20" s="1">
        <v>12.0</v>
      </c>
      <c r="T20" s="1">
        <v>13.0</v>
      </c>
      <c r="U20" s="1">
        <v>14.0</v>
      </c>
      <c r="V20" s="1">
        <v>15.0</v>
      </c>
      <c r="W20" s="1">
        <v>16.0</v>
      </c>
      <c r="X20" s="1">
        <v>17.0</v>
      </c>
      <c r="Y20" s="1">
        <v>18.0</v>
      </c>
      <c r="Z20" s="1">
        <v>19.0</v>
      </c>
      <c r="AA20" s="1">
        <v>20.0</v>
      </c>
      <c r="AB20" s="1">
        <v>21.0</v>
      </c>
      <c r="AC20" s="1">
        <v>22.0</v>
      </c>
      <c r="AD20" s="1">
        <v>23.0</v>
      </c>
      <c r="AE20" s="1">
        <v>24.0</v>
      </c>
      <c r="AF20" s="1">
        <v>25.0</v>
      </c>
    </row>
    <row r="21" ht="12.75" customHeight="1">
      <c r="B21" s="26" t="s">
        <v>16</v>
      </c>
      <c r="C21" s="31" t="s">
        <v>17</v>
      </c>
      <c r="D21" s="31" t="s">
        <v>18</v>
      </c>
      <c r="E21" s="31" t="s">
        <v>19</v>
      </c>
      <c r="F21" s="31" t="s">
        <v>20</v>
      </c>
      <c r="G21" s="31" t="s">
        <v>21</v>
      </c>
      <c r="H21" s="31">
        <v>1.0</v>
      </c>
      <c r="I21" s="31">
        <f t="shared" ref="I21:AF21" si="1">IF($D$16&gt;H21,H21+1,"")</f>
        <v>2</v>
      </c>
      <c r="J21" s="31">
        <f t="shared" si="1"/>
        <v>3</v>
      </c>
      <c r="K21" s="31">
        <f t="shared" si="1"/>
        <v>4</v>
      </c>
      <c r="L21" s="31">
        <f t="shared" si="1"/>
        <v>5</v>
      </c>
      <c r="M21" s="31">
        <f t="shared" si="1"/>
        <v>6</v>
      </c>
      <c r="N21" s="31">
        <f t="shared" si="1"/>
        <v>7</v>
      </c>
      <c r="O21" s="31">
        <f t="shared" si="1"/>
        <v>8</v>
      </c>
      <c r="P21" s="31">
        <f t="shared" si="1"/>
        <v>9</v>
      </c>
      <c r="Q21" s="31">
        <f t="shared" si="1"/>
        <v>10</v>
      </c>
      <c r="R21" s="31" t="str">
        <f t="shared" si="1"/>
        <v/>
      </c>
      <c r="S21" s="31" t="str">
        <f t="shared" si="1"/>
        <v/>
      </c>
      <c r="T21" s="31" t="str">
        <f t="shared" si="1"/>
        <v/>
      </c>
      <c r="U21" s="31" t="str">
        <f t="shared" si="1"/>
        <v/>
      </c>
      <c r="V21" s="31" t="str">
        <f t="shared" si="1"/>
        <v/>
      </c>
      <c r="W21" s="31" t="str">
        <f t="shared" si="1"/>
        <v/>
      </c>
      <c r="X21" s="31" t="str">
        <f t="shared" si="1"/>
        <v/>
      </c>
      <c r="Y21" s="31" t="str">
        <f t="shared" si="1"/>
        <v/>
      </c>
      <c r="Z21" s="31" t="str">
        <f t="shared" si="1"/>
        <v/>
      </c>
      <c r="AA21" s="31" t="str">
        <f t="shared" si="1"/>
        <v/>
      </c>
      <c r="AB21" s="31" t="str">
        <f t="shared" si="1"/>
        <v/>
      </c>
      <c r="AC21" s="31" t="str">
        <f t="shared" si="1"/>
        <v/>
      </c>
      <c r="AD21" s="31" t="str">
        <f t="shared" si="1"/>
        <v/>
      </c>
      <c r="AE21" s="31" t="str">
        <f t="shared" si="1"/>
        <v/>
      </c>
      <c r="AF21" s="31" t="str">
        <f t="shared" si="1"/>
        <v/>
      </c>
    </row>
    <row r="22" ht="12.75" customHeight="1">
      <c r="B22" s="45" t="s">
        <v>97</v>
      </c>
      <c r="C22" s="46" t="s">
        <v>98</v>
      </c>
      <c r="D22" s="34" t="s">
        <v>99</v>
      </c>
      <c r="E22" s="35" t="s">
        <v>31</v>
      </c>
      <c r="F22" s="36" t="s">
        <v>26</v>
      </c>
      <c r="G22" s="47">
        <v>13.0</v>
      </c>
      <c r="H22" s="1">
        <f t="shared" ref="H22:H32" si="3">IF(OR(H$21="",$G22=""),"",G22)</f>
        <v>13</v>
      </c>
      <c r="I22" s="1">
        <v>13.0</v>
      </c>
      <c r="J22" s="1">
        <v>11.0</v>
      </c>
      <c r="K22" s="1">
        <v>9.0</v>
      </c>
      <c r="L22" s="1">
        <v>7.0</v>
      </c>
      <c r="M22" s="1">
        <v>5.0</v>
      </c>
      <c r="N22" s="1">
        <v>3.0</v>
      </c>
      <c r="O22" s="1">
        <v>2.0</v>
      </c>
      <c r="P22" s="1">
        <v>1.0</v>
      </c>
      <c r="Q22" s="1">
        <v>1.0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 t="str">
        <f t="shared" ref="AE22:AF22" si="2">IF(OR(AE$21="",$G22=""),"",AD22)</f>
        <v/>
      </c>
      <c r="AF22" s="1" t="str">
        <f t="shared" si="2"/>
        <v/>
      </c>
    </row>
    <row r="23" ht="12.75" customHeight="1">
      <c r="B23" s="45" t="s">
        <v>100</v>
      </c>
      <c r="C23" s="46" t="s">
        <v>101</v>
      </c>
      <c r="D23" s="34" t="s">
        <v>99</v>
      </c>
      <c r="E23" s="35" t="s">
        <v>36</v>
      </c>
      <c r="F23" s="36" t="s">
        <v>26</v>
      </c>
      <c r="G23" s="47">
        <v>8.0</v>
      </c>
      <c r="H23" s="1">
        <f t="shared" si="3"/>
        <v>8</v>
      </c>
      <c r="I23" s="1">
        <v>15.0</v>
      </c>
      <c r="J23" s="1">
        <v>14.0</v>
      </c>
      <c r="K23" s="1">
        <v>13.0</v>
      </c>
      <c r="L23" s="1">
        <v>11.0</v>
      </c>
      <c r="M23" s="1">
        <v>8.0</v>
      </c>
      <c r="N23" s="1">
        <v>5.0</v>
      </c>
      <c r="O23" s="1">
        <v>3.0</v>
      </c>
      <c r="P23" s="1">
        <v>2.0</v>
      </c>
      <c r="Q23" s="1">
        <v>2.0</v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 t="str">
        <f t="shared" ref="AE23:AF23" si="4">IF(OR(AE$21="",$G23=""),"",AD23)</f>
        <v/>
      </c>
      <c r="AF23" s="1" t="str">
        <f t="shared" si="4"/>
        <v/>
      </c>
    </row>
    <row r="24" ht="12.75" customHeight="1">
      <c r="B24" s="45" t="s">
        <v>102</v>
      </c>
      <c r="C24" s="46" t="s">
        <v>103</v>
      </c>
      <c r="D24" s="34" t="s">
        <v>99</v>
      </c>
      <c r="E24" s="35" t="s">
        <v>42</v>
      </c>
      <c r="F24" s="36" t="s">
        <v>26</v>
      </c>
      <c r="G24" s="47">
        <v>8.0</v>
      </c>
      <c r="H24" s="1">
        <f t="shared" si="3"/>
        <v>8</v>
      </c>
      <c r="I24" s="1">
        <v>10.0</v>
      </c>
      <c r="J24" s="1">
        <v>9.0</v>
      </c>
      <c r="K24" s="1">
        <v>8.0</v>
      </c>
      <c r="L24" s="1">
        <v>6.0</v>
      </c>
      <c r="M24" s="1">
        <v>4.0</v>
      </c>
      <c r="N24" s="1">
        <v>3.0</v>
      </c>
      <c r="O24" s="1">
        <v>2.0</v>
      </c>
      <c r="P24" s="1">
        <v>1.0</v>
      </c>
      <c r="Q24" s="1">
        <v>1.0</v>
      </c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 t="str">
        <f t="shared" ref="AE24:AF24" si="5">IF(OR(AE$21="",$G24=""),"",AD24)</f>
        <v/>
      </c>
      <c r="AF24" s="1" t="str">
        <f t="shared" si="5"/>
        <v/>
      </c>
    </row>
    <row r="25" ht="12.75" customHeight="1">
      <c r="B25" s="45" t="s">
        <v>104</v>
      </c>
      <c r="C25" s="46" t="s">
        <v>105</v>
      </c>
      <c r="D25" s="34" t="s">
        <v>106</v>
      </c>
      <c r="E25" s="35" t="s">
        <v>47</v>
      </c>
      <c r="F25" s="25" t="s">
        <v>26</v>
      </c>
      <c r="G25" s="47">
        <v>10.0</v>
      </c>
      <c r="H25" s="1">
        <f t="shared" si="3"/>
        <v>10</v>
      </c>
      <c r="I25" s="27">
        <v>15.0</v>
      </c>
      <c r="J25" s="1">
        <v>15.0</v>
      </c>
      <c r="K25" s="1">
        <v>13.0</v>
      </c>
      <c r="L25" s="1">
        <v>10.0</v>
      </c>
      <c r="M25" s="1">
        <v>7.0</v>
      </c>
      <c r="N25" s="1">
        <v>4.0</v>
      </c>
      <c r="O25" s="1">
        <v>3.0</v>
      </c>
      <c r="P25" s="1">
        <v>2.0</v>
      </c>
      <c r="Q25" s="1">
        <v>2.0</v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 t="str">
        <f t="shared" ref="AE25:AF25" si="6">IF(OR(AE$21="",$G25=""),"",AD25)</f>
        <v/>
      </c>
      <c r="AF25" s="1" t="str">
        <f t="shared" si="6"/>
        <v/>
      </c>
    </row>
    <row r="26" ht="12.75" customHeight="1">
      <c r="B26" s="45" t="s">
        <v>107</v>
      </c>
      <c r="C26" s="46" t="s">
        <v>108</v>
      </c>
      <c r="D26" s="34" t="s">
        <v>106</v>
      </c>
      <c r="E26" s="35" t="s">
        <v>25</v>
      </c>
      <c r="F26" s="36" t="s">
        <v>26</v>
      </c>
      <c r="G26" s="47">
        <v>8.0</v>
      </c>
      <c r="H26" s="1">
        <f t="shared" si="3"/>
        <v>8</v>
      </c>
      <c r="I26" s="27">
        <v>11.0</v>
      </c>
      <c r="J26" s="27">
        <v>13.0</v>
      </c>
      <c r="K26" s="27">
        <v>13.0</v>
      </c>
      <c r="L26" s="27">
        <v>13.0</v>
      </c>
      <c r="M26" s="27">
        <v>13.0</v>
      </c>
      <c r="N26" s="27">
        <v>13.0</v>
      </c>
      <c r="O26" s="27">
        <v>13.0</v>
      </c>
      <c r="P26" s="27">
        <v>13.0</v>
      </c>
      <c r="Q26" s="27">
        <v>13.0</v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 t="str">
        <f t="shared" ref="AE26:AF26" si="7">IF(OR(AE$21="",$G26=""),"",AD26)</f>
        <v/>
      </c>
      <c r="AF26" s="1" t="str">
        <f t="shared" si="7"/>
        <v/>
      </c>
    </row>
    <row r="27" ht="12.75" customHeight="1">
      <c r="B27" s="42" t="s">
        <v>109</v>
      </c>
      <c r="C27" s="42" t="s">
        <v>110</v>
      </c>
      <c r="D27" s="43" t="s">
        <v>111</v>
      </c>
      <c r="E27" s="43" t="s">
        <v>31</v>
      </c>
      <c r="F27" s="36" t="s">
        <v>26</v>
      </c>
      <c r="G27" s="47">
        <v>8.0</v>
      </c>
      <c r="H27" s="1">
        <f t="shared" si="3"/>
        <v>8</v>
      </c>
      <c r="I27" s="27">
        <v>11.0</v>
      </c>
      <c r="J27" s="27">
        <v>13.0</v>
      </c>
      <c r="K27" s="27">
        <v>13.0</v>
      </c>
      <c r="L27" s="27">
        <v>13.0</v>
      </c>
      <c r="M27" s="27">
        <v>13.0</v>
      </c>
      <c r="N27" s="27">
        <v>13.0</v>
      </c>
      <c r="O27" s="27">
        <v>13.0</v>
      </c>
      <c r="P27" s="27">
        <v>13.0</v>
      </c>
      <c r="Q27" s="27">
        <v>13.0</v>
      </c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 t="str">
        <f t="shared" ref="AE27:AF27" si="8">IF(OR(AE$21="",$G27=""),"",AD27)</f>
        <v/>
      </c>
      <c r="AF27" s="1" t="str">
        <f t="shared" si="8"/>
        <v/>
      </c>
    </row>
    <row r="28" ht="12.75" customHeight="1">
      <c r="B28" s="42" t="s">
        <v>112</v>
      </c>
      <c r="C28" s="42" t="s">
        <v>113</v>
      </c>
      <c r="D28" s="43" t="s">
        <v>111</v>
      </c>
      <c r="E28" s="43" t="s">
        <v>36</v>
      </c>
      <c r="F28" s="36" t="s">
        <v>26</v>
      </c>
      <c r="G28" s="47">
        <v>8.0</v>
      </c>
      <c r="H28" s="1">
        <f t="shared" si="3"/>
        <v>8</v>
      </c>
      <c r="I28" s="27">
        <v>11.0</v>
      </c>
      <c r="J28" s="27">
        <v>13.0</v>
      </c>
      <c r="K28" s="27">
        <v>13.0</v>
      </c>
      <c r="L28" s="27">
        <v>13.0</v>
      </c>
      <c r="M28" s="27">
        <v>13.0</v>
      </c>
      <c r="N28" s="27">
        <v>13.0</v>
      </c>
      <c r="O28" s="27">
        <v>13.0</v>
      </c>
      <c r="P28" s="27">
        <v>13.0</v>
      </c>
      <c r="Q28" s="27">
        <v>13.0</v>
      </c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 t="str">
        <f t="shared" ref="AE28:AF28" si="9">IF(OR(AE$21="",$G28=""),"",AD28)</f>
        <v/>
      </c>
      <c r="AF28" s="1" t="str">
        <f t="shared" si="9"/>
        <v/>
      </c>
    </row>
    <row r="29" ht="12.75" customHeight="1">
      <c r="B29" s="45" t="s">
        <v>114</v>
      </c>
      <c r="C29" s="46" t="s">
        <v>115</v>
      </c>
      <c r="D29" s="34" t="s">
        <v>116</v>
      </c>
      <c r="E29" s="35" t="s">
        <v>42</v>
      </c>
      <c r="F29" s="36" t="s">
        <v>26</v>
      </c>
      <c r="G29" s="47">
        <v>8.0</v>
      </c>
      <c r="H29" s="1">
        <f t="shared" si="3"/>
        <v>8</v>
      </c>
      <c r="I29" s="27">
        <v>11.0</v>
      </c>
      <c r="J29" s="27">
        <v>13.0</v>
      </c>
      <c r="K29" s="27">
        <v>13.0</v>
      </c>
      <c r="L29" s="27">
        <v>13.0</v>
      </c>
      <c r="M29" s="27">
        <v>13.0</v>
      </c>
      <c r="N29" s="27">
        <v>13.0</v>
      </c>
      <c r="O29" s="27">
        <v>13.0</v>
      </c>
      <c r="P29" s="27">
        <v>13.0</v>
      </c>
      <c r="Q29" s="27">
        <v>13.0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 t="str">
        <f t="shared" ref="AE29:AF29" si="10">IF(OR(AE$21="",$G29=""),"",AD29)</f>
        <v/>
      </c>
      <c r="AF29" s="1" t="str">
        <f t="shared" si="10"/>
        <v/>
      </c>
    </row>
    <row r="30" ht="12.75" customHeight="1">
      <c r="B30" s="45" t="s">
        <v>117</v>
      </c>
      <c r="C30" s="46" t="s">
        <v>118</v>
      </c>
      <c r="D30" s="34" t="s">
        <v>116</v>
      </c>
      <c r="E30" s="35" t="s">
        <v>47</v>
      </c>
      <c r="F30" s="36" t="s">
        <v>26</v>
      </c>
      <c r="G30" s="47">
        <v>8.0</v>
      </c>
      <c r="H30" s="1">
        <f t="shared" si="3"/>
        <v>8</v>
      </c>
      <c r="I30" s="27">
        <v>11.0</v>
      </c>
      <c r="J30" s="27">
        <v>13.0</v>
      </c>
      <c r="K30" s="27">
        <v>13.0</v>
      </c>
      <c r="L30" s="27">
        <v>13.0</v>
      </c>
      <c r="M30" s="27">
        <v>13.0</v>
      </c>
      <c r="N30" s="27">
        <v>13.0</v>
      </c>
      <c r="O30" s="27">
        <v>13.0</v>
      </c>
      <c r="P30" s="27">
        <v>13.0</v>
      </c>
      <c r="Q30" s="27">
        <v>13.0</v>
      </c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 t="str">
        <f t="shared" ref="AE30:AF30" si="11">IF(OR(AE$21="",$G30=""),"",AD30)</f>
        <v/>
      </c>
      <c r="AF30" s="1" t="str">
        <f t="shared" si="11"/>
        <v/>
      </c>
    </row>
    <row r="31" ht="12.75" customHeight="1">
      <c r="B31" s="45" t="s">
        <v>119</v>
      </c>
      <c r="C31" s="46" t="s">
        <v>120</v>
      </c>
      <c r="D31" s="34" t="s">
        <v>116</v>
      </c>
      <c r="E31" s="35" t="s">
        <v>25</v>
      </c>
      <c r="F31" s="36" t="s">
        <v>26</v>
      </c>
      <c r="G31" s="47">
        <v>8.0</v>
      </c>
      <c r="H31" s="1">
        <f t="shared" si="3"/>
        <v>8</v>
      </c>
      <c r="I31" s="27">
        <v>11.0</v>
      </c>
      <c r="J31" s="27">
        <v>13.0</v>
      </c>
      <c r="K31" s="27">
        <v>13.0</v>
      </c>
      <c r="L31" s="27">
        <v>13.0</v>
      </c>
      <c r="M31" s="27">
        <v>13.0</v>
      </c>
      <c r="N31" s="27">
        <v>13.0</v>
      </c>
      <c r="O31" s="27">
        <v>13.0</v>
      </c>
      <c r="P31" s="27">
        <v>13.0</v>
      </c>
      <c r="Q31" s="27">
        <v>13.0</v>
      </c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 t="str">
        <f t="shared" ref="AE31:AF31" si="12">IF(OR(AE$21="",$G31=""),"",AD31)</f>
        <v/>
      </c>
      <c r="AF31" s="1" t="str">
        <f t="shared" si="12"/>
        <v/>
      </c>
    </row>
    <row r="32" ht="12.75" customHeight="1">
      <c r="B32" s="42" t="s">
        <v>121</v>
      </c>
      <c r="C32" s="42" t="s">
        <v>122</v>
      </c>
      <c r="D32" s="43" t="s">
        <v>116</v>
      </c>
      <c r="E32" s="43" t="s">
        <v>31</v>
      </c>
      <c r="F32" s="36" t="s">
        <v>26</v>
      </c>
      <c r="G32" s="47">
        <v>8.0</v>
      </c>
      <c r="H32" s="1">
        <f t="shared" si="3"/>
        <v>8</v>
      </c>
      <c r="I32" s="27">
        <v>11.0</v>
      </c>
      <c r="J32" s="27">
        <v>13.0</v>
      </c>
      <c r="K32" s="27">
        <v>13.0</v>
      </c>
      <c r="L32" s="27">
        <v>13.0</v>
      </c>
      <c r="M32" s="27">
        <v>13.0</v>
      </c>
      <c r="N32" s="27">
        <v>13.0</v>
      </c>
      <c r="O32" s="27">
        <v>13.0</v>
      </c>
      <c r="P32" s="27">
        <v>13.0</v>
      </c>
      <c r="Q32" s="27">
        <v>13.0</v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 t="str">
        <f t="shared" ref="AE32:AF32" si="13">IF(OR(AE$21="",$G32=""),"",AD32)</f>
        <v/>
      </c>
      <c r="AF32" s="1" t="str">
        <f t="shared" si="13"/>
        <v/>
      </c>
    </row>
    <row r="33" ht="12.75" customHeight="1">
      <c r="D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 t="str">
        <f t="shared" ref="AE33:AF33" si="14">IF(OR(AE$21="",$G33=""),"",AD33)</f>
        <v/>
      </c>
      <c r="AF33" s="1" t="str">
        <f t="shared" si="14"/>
        <v/>
      </c>
    </row>
    <row r="34" ht="12.75" customHeight="1">
      <c r="D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 t="str">
        <f t="shared" ref="AE34:AF34" si="15">IF(OR(AE$21="",$G34=""),"",AD34)</f>
        <v/>
      </c>
      <c r="AF34" s="1" t="str">
        <f t="shared" si="15"/>
        <v/>
      </c>
    </row>
    <row r="35" ht="12.75" customHeight="1">
      <c r="D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 t="str">
        <f t="shared" ref="AE35:AF35" si="16">IF(OR(AE$21="",$G35=""),"",AD35)</f>
        <v/>
      </c>
      <c r="AF35" s="1" t="str">
        <f t="shared" si="16"/>
        <v/>
      </c>
    </row>
    <row r="36" ht="12.75" customHeight="1">
      <c r="D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 t="str">
        <f t="shared" ref="AE36:AF36" si="17">IF(OR(AE$21="",$G36=""),"",AD36)</f>
        <v/>
      </c>
      <c r="AF36" s="1" t="str">
        <f t="shared" si="17"/>
        <v/>
      </c>
    </row>
    <row r="37" ht="12.75" customHeight="1">
      <c r="D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 t="str">
        <f t="shared" ref="AE37:AF37" si="18">IF(OR(AE$21="",$G37=""),"",AD37)</f>
        <v/>
      </c>
      <c r="AF37" s="1" t="str">
        <f t="shared" si="18"/>
        <v/>
      </c>
    </row>
    <row r="38" ht="12.75" customHeight="1">
      <c r="D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 t="str">
        <f t="shared" ref="AE38:AF38" si="19">IF(OR(AE$21="",$G38=""),"",AD38)</f>
        <v/>
      </c>
      <c r="AF38" s="1" t="str">
        <f t="shared" si="19"/>
        <v/>
      </c>
    </row>
    <row r="39" ht="12.75" customHeight="1">
      <c r="D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 t="str">
        <f t="shared" ref="AE39:AF39" si="20">IF(OR(AE$21="",$G39=""),"",AD39)</f>
        <v/>
      </c>
      <c r="AF39" s="1" t="str">
        <f t="shared" si="20"/>
        <v/>
      </c>
    </row>
    <row r="40" ht="12.75" customHeight="1">
      <c r="D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 t="str">
        <f t="shared" ref="AE40:AF40" si="21">IF(OR(AE$21="",$G40=""),"",AD40)</f>
        <v/>
      </c>
      <c r="AF40" s="1" t="str">
        <f t="shared" si="21"/>
        <v/>
      </c>
    </row>
    <row r="41" ht="12.75" customHeight="1">
      <c r="D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 t="str">
        <f t="shared" ref="AE41:AF41" si="22">IF(OR(AE$21="",$G41=""),"",AD41)</f>
        <v/>
      </c>
      <c r="AF41" s="1" t="str">
        <f t="shared" si="22"/>
        <v/>
      </c>
    </row>
    <row r="42" ht="12.75" customHeight="1">
      <c r="D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 t="str">
        <f t="shared" ref="AE42:AF42" si="23">IF(OR(AE$21="",$G42=""),"",AD42)</f>
        <v/>
      </c>
      <c r="AF42" s="1" t="str">
        <f t="shared" si="23"/>
        <v/>
      </c>
    </row>
    <row r="43" ht="12.75" customHeight="1">
      <c r="D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 t="str">
        <f t="shared" ref="AE43:AF43" si="24">IF(OR(AE$21="",$G43=""),"",AD43)</f>
        <v/>
      </c>
      <c r="AF43" s="1" t="str">
        <f t="shared" si="24"/>
        <v/>
      </c>
    </row>
    <row r="44" ht="12.75" customHeight="1">
      <c r="D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 t="str">
        <f t="shared" ref="AE44:AF44" si="25">IF(OR(AE$21="",$G44=""),"",AD44)</f>
        <v/>
      </c>
      <c r="AF44" s="1" t="str">
        <f t="shared" si="25"/>
        <v/>
      </c>
    </row>
    <row r="45" ht="12.75" customHeight="1">
      <c r="D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 t="str">
        <f t="shared" ref="AE45:AF45" si="26">IF(OR(AE$21="",$G45=""),"",AD45)</f>
        <v/>
      </c>
      <c r="AF45" s="1" t="str">
        <f t="shared" si="26"/>
        <v/>
      </c>
    </row>
    <row r="46" ht="12.75" customHeight="1">
      <c r="D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 t="str">
        <f t="shared" ref="AE46:AF46" si="27">IF(OR(AE$21="",$G46=""),"",AD46)</f>
        <v/>
      </c>
      <c r="AF46" s="1" t="str">
        <f t="shared" si="27"/>
        <v/>
      </c>
    </row>
    <row r="47" ht="12.75" customHeight="1">
      <c r="D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 t="str">
        <f t="shared" ref="AE47:AF47" si="28">IF(OR(AE$21="",$G47=""),"",AD47)</f>
        <v/>
      </c>
      <c r="AF47" s="1" t="str">
        <f t="shared" si="28"/>
        <v/>
      </c>
    </row>
    <row r="48" ht="12.75" customHeight="1">
      <c r="D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 t="str">
        <f t="shared" ref="AE48:AF48" si="29">IF(OR(AE$21="",$G48=""),"",AD48)</f>
        <v/>
      </c>
      <c r="AF48" s="1" t="str">
        <f t="shared" si="29"/>
        <v/>
      </c>
    </row>
    <row r="49" ht="12.75" customHeight="1">
      <c r="D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 t="str">
        <f t="shared" ref="AE49:AF49" si="30">IF(OR(AE$21="",$G49=""),"",AD49)</f>
        <v/>
      </c>
      <c r="AF49" s="1" t="str">
        <f t="shared" si="30"/>
        <v/>
      </c>
    </row>
    <row r="50" ht="12.75" customHeight="1">
      <c r="D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 t="str">
        <f t="shared" ref="AE50:AF50" si="31">IF(OR(AE$21="",$G50=""),"",AD50)</f>
        <v/>
      </c>
      <c r="AF50" s="1" t="str">
        <f t="shared" si="31"/>
        <v/>
      </c>
    </row>
    <row r="51" ht="12.75" customHeight="1">
      <c r="D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 t="str">
        <f t="shared" ref="AE51:AF51" si="32">IF(OR(AE$21="",$G51=""),"",AD51)</f>
        <v/>
      </c>
      <c r="AF51" s="1" t="str">
        <f t="shared" si="32"/>
        <v/>
      </c>
    </row>
    <row r="52" ht="12.75" customHeight="1">
      <c r="D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 t="str">
        <f t="shared" ref="AE52:AF52" si="33">IF(OR(AE$21="",$G52=""),"",AD52)</f>
        <v/>
      </c>
      <c r="AF52" s="1" t="str">
        <f t="shared" si="33"/>
        <v/>
      </c>
    </row>
    <row r="53" ht="12.75" customHeight="1">
      <c r="D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 t="str">
        <f t="shared" ref="AE53:AF53" si="34">IF(OR(AE$21="",$G53=""),"",AD53)</f>
        <v/>
      </c>
      <c r="AF53" s="1" t="str">
        <f t="shared" si="34"/>
        <v/>
      </c>
    </row>
    <row r="54" ht="12.75" customHeight="1">
      <c r="D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 t="str">
        <f t="shared" ref="AE54:AF54" si="35">IF(OR(AE$21="",$G54=""),"",AD54)</f>
        <v/>
      </c>
      <c r="AF54" s="1" t="str">
        <f t="shared" si="35"/>
        <v/>
      </c>
    </row>
    <row r="55" ht="12.75" customHeight="1">
      <c r="D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 t="str">
        <f t="shared" ref="AE55:AF55" si="36">IF(OR(AE$21="",$G55=""),"",AD55)</f>
        <v/>
      </c>
      <c r="AF55" s="1" t="str">
        <f t="shared" si="36"/>
        <v/>
      </c>
    </row>
    <row r="56" ht="12.75" customHeight="1">
      <c r="D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 t="str">
        <f t="shared" ref="AE56:AF56" si="37">IF(OR(AE$21="",$G56=""),"",AD56)</f>
        <v/>
      </c>
      <c r="AF56" s="1" t="str">
        <f t="shared" si="37"/>
        <v/>
      </c>
    </row>
    <row r="57" ht="12.75" customHeight="1">
      <c r="D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 t="str">
        <f t="shared" ref="AE57:AF57" si="38">IF(OR(AE$21="",$G57=""),"",AD57)</f>
        <v/>
      </c>
      <c r="AF57" s="1" t="str">
        <f t="shared" si="38"/>
        <v/>
      </c>
    </row>
    <row r="58" ht="12.75" customHeight="1">
      <c r="D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 t="str">
        <f t="shared" ref="AE58:AF58" si="39">IF(OR(AE$21="",$G58=""),"",AD58)</f>
        <v/>
      </c>
      <c r="AF58" s="1" t="str">
        <f t="shared" si="39"/>
        <v/>
      </c>
    </row>
    <row r="59" ht="12.75" customHeight="1">
      <c r="D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 t="str">
        <f t="shared" ref="AE59:AF59" si="40">IF(OR(AE$21="",$G59=""),"",AD59)</f>
        <v/>
      </c>
      <c r="AF59" s="1" t="str">
        <f t="shared" si="40"/>
        <v/>
      </c>
    </row>
    <row r="60" ht="12.75" customHeight="1">
      <c r="D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 t="str">
        <f t="shared" ref="AE60:AF60" si="41">IF(OR(AE$21="",$G60=""),"",AD60)</f>
        <v/>
      </c>
      <c r="AF60" s="1" t="str">
        <f t="shared" si="41"/>
        <v/>
      </c>
    </row>
    <row r="61" ht="12.75" customHeight="1">
      <c r="D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 t="str">
        <f t="shared" ref="AE61:AF61" si="42">IF(OR(AE$21="",$G61=""),"",AD61)</f>
        <v/>
      </c>
      <c r="AF61" s="1" t="str">
        <f t="shared" si="42"/>
        <v/>
      </c>
    </row>
    <row r="62" ht="12.75" customHeight="1">
      <c r="D62" s="1"/>
      <c r="I62" s="1" t="str">
        <f t="shared" ref="I62:AF62" si="43">IF(OR(I$21="",$G62=""),"",H62)</f>
        <v/>
      </c>
      <c r="J62" s="1" t="str">
        <f t="shared" si="43"/>
        <v/>
      </c>
      <c r="K62" s="1" t="str">
        <f t="shared" si="43"/>
        <v/>
      </c>
      <c r="L62" s="1" t="str">
        <f t="shared" si="43"/>
        <v/>
      </c>
      <c r="M62" s="1" t="str">
        <f t="shared" si="43"/>
        <v/>
      </c>
      <c r="N62" s="1" t="str">
        <f t="shared" si="43"/>
        <v/>
      </c>
      <c r="O62" s="1" t="str">
        <f t="shared" si="43"/>
        <v/>
      </c>
      <c r="P62" s="1" t="str">
        <f t="shared" si="43"/>
        <v/>
      </c>
      <c r="Q62" s="1" t="str">
        <f t="shared" si="43"/>
        <v/>
      </c>
      <c r="R62" s="1" t="str">
        <f t="shared" si="43"/>
        <v/>
      </c>
      <c r="S62" s="1" t="str">
        <f t="shared" si="43"/>
        <v/>
      </c>
      <c r="T62" s="1" t="str">
        <f t="shared" si="43"/>
        <v/>
      </c>
      <c r="U62" s="1" t="str">
        <f t="shared" si="43"/>
        <v/>
      </c>
      <c r="V62" s="1" t="str">
        <f t="shared" si="43"/>
        <v/>
      </c>
      <c r="W62" s="1" t="str">
        <f t="shared" si="43"/>
        <v/>
      </c>
      <c r="X62" s="1" t="str">
        <f t="shared" si="43"/>
        <v/>
      </c>
      <c r="Y62" s="1" t="str">
        <f t="shared" si="43"/>
        <v/>
      </c>
      <c r="Z62" s="1" t="str">
        <f t="shared" si="43"/>
        <v/>
      </c>
      <c r="AA62" s="1" t="str">
        <f t="shared" si="43"/>
        <v/>
      </c>
      <c r="AB62" s="1" t="str">
        <f t="shared" si="43"/>
        <v/>
      </c>
      <c r="AC62" s="1" t="str">
        <f t="shared" si="43"/>
        <v/>
      </c>
      <c r="AD62" s="1" t="str">
        <f t="shared" si="43"/>
        <v/>
      </c>
      <c r="AE62" s="1" t="str">
        <f t="shared" si="43"/>
        <v/>
      </c>
      <c r="AF62" s="1" t="str">
        <f t="shared" si="43"/>
        <v/>
      </c>
    </row>
    <row r="63" ht="12.75" customHeight="1">
      <c r="D63" s="1"/>
      <c r="I63" s="1" t="str">
        <f t="shared" ref="I63:AF63" si="44">IF(OR(I$21="",$G63=""),"",H63)</f>
        <v/>
      </c>
      <c r="J63" s="1" t="str">
        <f t="shared" si="44"/>
        <v/>
      </c>
      <c r="K63" s="1" t="str">
        <f t="shared" si="44"/>
        <v/>
      </c>
      <c r="L63" s="1" t="str">
        <f t="shared" si="44"/>
        <v/>
      </c>
      <c r="M63" s="1" t="str">
        <f t="shared" si="44"/>
        <v/>
      </c>
      <c r="N63" s="1" t="str">
        <f t="shared" si="44"/>
        <v/>
      </c>
      <c r="O63" s="1" t="str">
        <f t="shared" si="44"/>
        <v/>
      </c>
      <c r="P63" s="1" t="str">
        <f t="shared" si="44"/>
        <v/>
      </c>
      <c r="Q63" s="1" t="str">
        <f t="shared" si="44"/>
        <v/>
      </c>
      <c r="R63" s="1" t="str">
        <f t="shared" si="44"/>
        <v/>
      </c>
      <c r="S63" s="1" t="str">
        <f t="shared" si="44"/>
        <v/>
      </c>
      <c r="T63" s="1" t="str">
        <f t="shared" si="44"/>
        <v/>
      </c>
      <c r="U63" s="1" t="str">
        <f t="shared" si="44"/>
        <v/>
      </c>
      <c r="V63" s="1" t="str">
        <f t="shared" si="44"/>
        <v/>
      </c>
      <c r="W63" s="1" t="str">
        <f t="shared" si="44"/>
        <v/>
      </c>
      <c r="X63" s="1" t="str">
        <f t="shared" si="44"/>
        <v/>
      </c>
      <c r="Y63" s="1" t="str">
        <f t="shared" si="44"/>
        <v/>
      </c>
      <c r="Z63" s="1" t="str">
        <f t="shared" si="44"/>
        <v/>
      </c>
      <c r="AA63" s="1" t="str">
        <f t="shared" si="44"/>
        <v/>
      </c>
      <c r="AB63" s="1" t="str">
        <f t="shared" si="44"/>
        <v/>
      </c>
      <c r="AC63" s="1" t="str">
        <f t="shared" si="44"/>
        <v/>
      </c>
      <c r="AD63" s="1" t="str">
        <f t="shared" si="44"/>
        <v/>
      </c>
      <c r="AE63" s="1" t="str">
        <f t="shared" si="44"/>
        <v/>
      </c>
      <c r="AF63" s="1" t="str">
        <f t="shared" si="44"/>
        <v/>
      </c>
    </row>
    <row r="64" ht="12.75" customHeight="1">
      <c r="D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 t="str">
        <f t="shared" ref="AE64:AF64" si="45">IF(OR(AE$21="",$G64=""),"",AD64)</f>
        <v/>
      </c>
      <c r="AF64" s="1" t="str">
        <f t="shared" si="45"/>
        <v/>
      </c>
    </row>
    <row r="65" ht="12.75" customHeight="1">
      <c r="D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 t="str">
        <f t="shared" ref="AE65:AF65" si="46">IF(OR(AE$21="",$G65=""),"",AD65)</f>
        <v/>
      </c>
      <c r="AF65" s="1" t="str">
        <f t="shared" si="46"/>
        <v/>
      </c>
    </row>
    <row r="66" ht="12.75" customHeight="1">
      <c r="D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ht="12.75" customHeight="1">
      <c r="D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ht="12.75" customHeight="1">
      <c r="D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ht="12.75" customHeight="1">
      <c r="D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ht="12.75" customHeight="1">
      <c r="D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ht="12.75" customHeight="1">
      <c r="A71" s="1"/>
      <c r="D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ht="12.75" customHeight="1">
      <c r="D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ht="12.75" customHeight="1">
      <c r="D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ht="12.75" customHeight="1">
      <c r="D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ht="12.75" customHeight="1">
      <c r="D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ht="12.75" customHeight="1">
      <c r="D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ht="12.75" customHeight="1">
      <c r="D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ht="12.75" customHeight="1">
      <c r="D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ht="12.75" customHeight="1">
      <c r="D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ht="12.75" customHeight="1">
      <c r="D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ht="12.75" customHeight="1">
      <c r="D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ht="12.75" customHeight="1">
      <c r="D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ht="12.75" customHeight="1">
      <c r="D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ht="12.75" customHeight="1">
      <c r="D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ht="12.75" customHeight="1">
      <c r="D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ht="12.75" customHeight="1">
      <c r="D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ht="12.75" customHeight="1">
      <c r="D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ht="12.75" customHeight="1">
      <c r="D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ht="12.75" customHeight="1">
      <c r="D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ht="12.75" customHeight="1">
      <c r="D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ht="12.75" customHeight="1">
      <c r="D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ht="12.75" customHeight="1">
      <c r="D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ht="12.75" customHeight="1">
      <c r="D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ht="12.75" customHeight="1">
      <c r="D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ht="12.75" customHeight="1">
      <c r="D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ht="12.75" customHeight="1">
      <c r="D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ht="12.75" customHeight="1">
      <c r="D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ht="12.75" customHeight="1">
      <c r="D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ht="12.75" customHeight="1">
      <c r="D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ht="12.75" customHeight="1">
      <c r="D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ht="12.75" customHeight="1">
      <c r="D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ht="12.75" customHeight="1">
      <c r="D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ht="12.75" customHeight="1">
      <c r="D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ht="12.75" customHeight="1">
      <c r="D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ht="12.75" customHeight="1">
      <c r="D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ht="12.75" customHeight="1">
      <c r="D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ht="12.75" customHeight="1">
      <c r="D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ht="12.75" customHeight="1">
      <c r="D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ht="12.75" customHeight="1">
      <c r="D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ht="12.75" customHeight="1">
      <c r="D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ht="12.75" customHeight="1">
      <c r="D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ht="12.75" customHeight="1">
      <c r="D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ht="12.75" customHeight="1">
      <c r="D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ht="12.75" customHeight="1">
      <c r="D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ht="12.75" customHeight="1">
      <c r="D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ht="12.75" customHeight="1">
      <c r="D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ht="12.75" customHeight="1">
      <c r="D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ht="12.75" customHeight="1">
      <c r="D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ht="12.75" customHeight="1">
      <c r="D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ht="12.75" customHeight="1">
      <c r="D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ht="12.75" customHeight="1">
      <c r="D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ht="12.75" customHeight="1">
      <c r="D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ht="12.75" customHeight="1">
      <c r="D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 ht="12.75" customHeight="1">
      <c r="D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 ht="12.75" customHeight="1">
      <c r="D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 ht="12.75" customHeight="1">
      <c r="D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 ht="12.75" customHeight="1">
      <c r="D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ht="12.75" customHeight="1">
      <c r="D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ht="12.75" customHeight="1">
      <c r="D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 ht="12.75" customHeight="1">
      <c r="D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ht="12.75" customHeight="1">
      <c r="D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ht="12.75" customHeight="1">
      <c r="D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 ht="12.75" customHeight="1">
      <c r="D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ht="12.75" customHeight="1">
      <c r="D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 ht="12.75" customHeight="1">
      <c r="D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 ht="12.75" customHeight="1">
      <c r="D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ht="12.75" customHeight="1">
      <c r="D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ht="12.75" customHeight="1">
      <c r="D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 ht="12.75" customHeight="1">
      <c r="D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ht="12.75" customHeight="1">
      <c r="D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ht="12.75" customHeight="1">
      <c r="D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ht="12.75" customHeight="1">
      <c r="D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 ht="12.75" customHeight="1">
      <c r="D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ht="12.75" customHeight="1">
      <c r="D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ht="12.75" customHeight="1">
      <c r="D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 ht="12.75" customHeight="1">
      <c r="D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ht="12.75" customHeight="1">
      <c r="D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ht="12.75" customHeight="1">
      <c r="D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ht="12.75" customHeight="1">
      <c r="D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ht="12.75" customHeight="1">
      <c r="D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ht="12.75" customHeight="1">
      <c r="D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ht="12.75" customHeight="1">
      <c r="D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ht="12.75" customHeight="1">
      <c r="D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ht="12.75" customHeight="1">
      <c r="D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ht="12.75" customHeight="1">
      <c r="D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ht="12.75" customHeight="1">
      <c r="D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ht="12.75" customHeight="1">
      <c r="D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ht="12.75" customHeight="1">
      <c r="D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ht="12.75" customHeight="1">
      <c r="D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ht="12.75" customHeight="1">
      <c r="D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ht="12.75" customHeight="1">
      <c r="D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ht="12.75" customHeight="1">
      <c r="D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ht="12.75" customHeight="1">
      <c r="D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ht="12.75" customHeight="1">
      <c r="D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ht="12.75" customHeight="1">
      <c r="D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ht="12.75" customHeight="1">
      <c r="D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ht="12.75" customHeight="1">
      <c r="D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ht="12.75" customHeight="1">
      <c r="D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ht="12.75" customHeight="1">
      <c r="D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ht="12.75" customHeight="1">
      <c r="D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ht="12.75" customHeight="1">
      <c r="D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ht="12.75" customHeight="1">
      <c r="D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ht="12.75" customHeight="1">
      <c r="D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ht="12.75" customHeight="1">
      <c r="D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ht="12.75" customHeight="1">
      <c r="D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ht="12.75" customHeight="1">
      <c r="D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ht="12.75" customHeight="1">
      <c r="D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ht="12.75" customHeight="1">
      <c r="D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ht="12.75" customHeight="1">
      <c r="D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ht="12.75" customHeight="1">
      <c r="D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ht="12.75" customHeight="1">
      <c r="D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ht="12.75" customHeight="1">
      <c r="D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ht="12.75" customHeight="1">
      <c r="D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ht="12.75" customHeight="1">
      <c r="D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ht="12.75" customHeight="1">
      <c r="D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ht="12.75" customHeight="1">
      <c r="D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ht="12.75" customHeight="1">
      <c r="D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ht="12.75" customHeight="1">
      <c r="D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ht="12.75" customHeight="1">
      <c r="D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ht="12.75" customHeight="1">
      <c r="D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ht="12.75" customHeight="1">
      <c r="D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ht="12.75" customHeight="1">
      <c r="D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ht="12.75" customHeight="1">
      <c r="D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ht="12.75" customHeight="1">
      <c r="D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ht="12.75" customHeight="1">
      <c r="D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ht="12.75" customHeight="1">
      <c r="D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ht="12.75" customHeight="1">
      <c r="D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ht="12.75" customHeight="1">
      <c r="D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ht="12.75" customHeight="1">
      <c r="D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ht="12.75" customHeight="1">
      <c r="D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ht="12.75" customHeight="1">
      <c r="D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ht="12.75" customHeight="1">
      <c r="D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ht="12.75" customHeight="1">
      <c r="D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ht="12.75" customHeight="1">
      <c r="D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ht="12.75" customHeight="1">
      <c r="D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ht="12.75" customHeight="1">
      <c r="D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ht="12.75" customHeight="1">
      <c r="D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ht="12.75" customHeight="1">
      <c r="D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ht="12.75" customHeight="1">
      <c r="D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ht="12.75" customHeight="1">
      <c r="D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ht="12.75" customHeight="1">
      <c r="D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ht="12.75" customHeight="1">
      <c r="D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ht="12.75" customHeight="1">
      <c r="D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ht="12.75" customHeight="1">
      <c r="D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 ht="12.75" customHeight="1">
      <c r="D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ht="12.75" customHeight="1">
      <c r="D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ht="12.75" customHeight="1">
      <c r="D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ht="12.75" customHeight="1">
      <c r="D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ht="12.75" customHeight="1">
      <c r="D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ht="12.75" customHeight="1">
      <c r="D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ht="12.75" customHeight="1">
      <c r="D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 ht="12.75" customHeight="1">
      <c r="D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ht="12.75" customHeight="1">
      <c r="D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ht="12.75" customHeight="1">
      <c r="D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ht="12.75" customHeight="1">
      <c r="D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ht="12.75" customHeight="1">
      <c r="D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ht="12.75" customHeight="1">
      <c r="D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ht="12.75" customHeight="1">
      <c r="D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ht="12.75" customHeight="1">
      <c r="D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ht="12.75" customHeight="1">
      <c r="D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ht="12.75" customHeight="1">
      <c r="D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ht="12.75" customHeight="1">
      <c r="D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ht="12.75" customHeight="1">
      <c r="D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ht="12.75" customHeight="1">
      <c r="D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ht="12.75" customHeight="1">
      <c r="D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ht="12.75" customHeight="1">
      <c r="D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ht="12.75" customHeight="1">
      <c r="D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ht="12.75" customHeight="1">
      <c r="D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ht="12.75" customHeight="1">
      <c r="D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ht="12.75" customHeight="1">
      <c r="D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ht="12.75" customHeight="1">
      <c r="D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ht="12.75" customHeight="1">
      <c r="D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ht="12.75" customHeight="1">
      <c r="D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ht="12.75" customHeight="1">
      <c r="D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ht="12.75" customHeight="1">
      <c r="D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 ht="12.75" customHeight="1">
      <c r="D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 ht="12.75" customHeight="1">
      <c r="D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ht="12.75" customHeight="1">
      <c r="D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ht="12.75" customHeight="1">
      <c r="D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ht="12.75" customHeight="1">
      <c r="D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ht="12.75" customHeight="1">
      <c r="D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ht="12.75" customHeight="1">
      <c r="D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 ht="12.75" customHeight="1">
      <c r="D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 ht="12.75" customHeight="1">
      <c r="D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 ht="12.75" customHeight="1">
      <c r="D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 ht="12.75" customHeight="1">
      <c r="D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 ht="12.75" customHeight="1">
      <c r="D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 ht="12.75" customHeight="1">
      <c r="D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 ht="12.75" customHeight="1">
      <c r="D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 ht="12.75" customHeight="1">
      <c r="D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 ht="12.75" customHeight="1">
      <c r="D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 ht="12.75" customHeight="1">
      <c r="D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 ht="12.75" customHeight="1">
      <c r="D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 ht="12.75" customHeight="1">
      <c r="D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 ht="12.75" customHeight="1">
      <c r="D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 ht="12.75" customHeight="1">
      <c r="D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 ht="12.75" customHeight="1">
      <c r="D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 ht="12.75" customHeight="1">
      <c r="D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 ht="12.75" customHeight="1">
      <c r="D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 ht="12.75" customHeight="1">
      <c r="D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 ht="12.75" customHeight="1">
      <c r="D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 ht="12.75" customHeight="1">
      <c r="D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 ht="12.75" customHeight="1">
      <c r="D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 ht="12.75" customHeight="1">
      <c r="D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 ht="12.75" customHeight="1">
      <c r="D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 ht="12.75" customHeight="1">
      <c r="D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 ht="12.75" customHeight="1">
      <c r="D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 ht="12.75" customHeight="1">
      <c r="D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 ht="12.75" customHeight="1">
      <c r="D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 ht="12.75" customHeight="1">
      <c r="D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 ht="12.75" customHeight="1">
      <c r="D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 ht="12.75" customHeight="1">
      <c r="D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 ht="12.75" customHeight="1">
      <c r="D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 ht="12.75" customHeight="1">
      <c r="D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 ht="12.75" customHeight="1">
      <c r="D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 ht="12.75" customHeight="1">
      <c r="D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 ht="12.75" customHeight="1">
      <c r="D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 ht="12.75" customHeight="1">
      <c r="D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 ht="12.75" customHeight="1">
      <c r="D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 ht="12.75" customHeight="1">
      <c r="D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 ht="12.75" customHeight="1">
      <c r="D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 ht="12.75" customHeight="1">
      <c r="D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 ht="12.75" customHeight="1">
      <c r="D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 ht="12.75" customHeight="1">
      <c r="D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 ht="12.75" customHeight="1">
      <c r="D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 ht="12.75" customHeight="1">
      <c r="D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 ht="12.75" customHeight="1">
      <c r="D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 ht="12.75" customHeight="1">
      <c r="D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 ht="12.75" customHeight="1">
      <c r="D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 ht="12.75" customHeight="1">
      <c r="D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 ht="12.75" customHeight="1">
      <c r="D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 ht="12.75" customHeight="1">
      <c r="D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 ht="12.75" customHeight="1">
      <c r="D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 ht="12.75" customHeight="1">
      <c r="D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 ht="12.75" customHeight="1">
      <c r="D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 ht="12.75" customHeight="1">
      <c r="D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 ht="12.75" customHeight="1">
      <c r="D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 ht="12.75" customHeight="1">
      <c r="D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 ht="12.75" customHeight="1">
      <c r="D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 ht="12.75" customHeight="1">
      <c r="D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 ht="12.75" customHeight="1">
      <c r="D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 ht="12.75" customHeight="1">
      <c r="D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 ht="12.75" customHeight="1">
      <c r="D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 ht="12.75" customHeight="1">
      <c r="D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 ht="12.75" customHeight="1">
      <c r="D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 ht="12.75" customHeight="1">
      <c r="D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 ht="12.75" customHeight="1">
      <c r="D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 ht="12.75" customHeight="1">
      <c r="D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 ht="12.75" customHeight="1">
      <c r="D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 ht="12.75" customHeight="1">
      <c r="D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 ht="12.75" customHeight="1">
      <c r="D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 ht="12.75" customHeight="1">
      <c r="D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 ht="12.75" customHeight="1">
      <c r="D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 ht="12.75" customHeight="1">
      <c r="D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 ht="12.75" customHeight="1">
      <c r="D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 ht="12.75" customHeight="1">
      <c r="D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 ht="12.75" customHeight="1">
      <c r="D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 ht="12.75" customHeight="1">
      <c r="D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 ht="12.75" customHeight="1">
      <c r="D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 ht="12.75" customHeight="1">
      <c r="D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 ht="12.75" customHeight="1">
      <c r="D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 ht="12.75" customHeight="1">
      <c r="D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 ht="12.75" customHeight="1">
      <c r="D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 ht="12.75" customHeight="1">
      <c r="D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 ht="12.75" customHeight="1">
      <c r="D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 ht="12.75" customHeight="1">
      <c r="D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 ht="12.75" customHeight="1">
      <c r="D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 ht="12.75" customHeight="1">
      <c r="D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 ht="12.75" customHeight="1">
      <c r="D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 ht="12.75" customHeight="1">
      <c r="D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 ht="12.75" customHeight="1">
      <c r="D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 ht="12.75" customHeight="1">
      <c r="D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 ht="12.75" customHeight="1">
      <c r="D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 ht="12.75" customHeight="1">
      <c r="D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 ht="12.75" customHeight="1">
      <c r="D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 ht="12.75" customHeight="1">
      <c r="D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 ht="12.75" customHeight="1">
      <c r="D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 ht="12.75" customHeight="1">
      <c r="D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 ht="12.75" customHeight="1">
      <c r="D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 ht="12.75" customHeight="1">
      <c r="D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 ht="12.75" customHeight="1">
      <c r="D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 ht="12.75" customHeight="1">
      <c r="D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 ht="12.75" customHeight="1">
      <c r="D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 ht="12.75" customHeight="1">
      <c r="D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 ht="12.75" customHeight="1">
      <c r="D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 ht="12.75" customHeight="1">
      <c r="D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 ht="12.75" customHeight="1">
      <c r="D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 ht="12.75" customHeight="1">
      <c r="D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 ht="12.75" customHeight="1">
      <c r="D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 ht="12.75" customHeight="1">
      <c r="D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 ht="12.75" customHeight="1">
      <c r="D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 ht="12.75" customHeight="1">
      <c r="D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 ht="12.75" customHeight="1">
      <c r="D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 ht="12.75" customHeight="1">
      <c r="D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 ht="12.75" customHeight="1">
      <c r="D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 ht="12.75" customHeight="1">
      <c r="D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 ht="12.75" customHeight="1">
      <c r="D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 ht="12.75" customHeight="1">
      <c r="D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 ht="12.75" customHeight="1">
      <c r="D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 ht="12.75" customHeight="1">
      <c r="D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 ht="12.75" customHeight="1">
      <c r="D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 ht="12.75" customHeight="1">
      <c r="D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 ht="12.75" customHeight="1">
      <c r="D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 ht="12.75" customHeight="1">
      <c r="D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 ht="12.75" customHeight="1">
      <c r="D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 ht="12.75" customHeight="1">
      <c r="D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 ht="12.75" customHeight="1">
      <c r="D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 ht="12.75" customHeight="1">
      <c r="D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 ht="12.75" customHeight="1">
      <c r="D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 ht="12.75" customHeight="1">
      <c r="D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 ht="12.75" customHeight="1">
      <c r="D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 ht="12.75" customHeight="1">
      <c r="D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 ht="12.75" customHeight="1">
      <c r="D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 ht="12.75" customHeight="1">
      <c r="D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 ht="12.75" customHeight="1">
      <c r="D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 ht="12.75" customHeight="1">
      <c r="D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 ht="12.75" customHeight="1">
      <c r="D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 ht="12.75" customHeight="1">
      <c r="D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 ht="12.75" customHeight="1">
      <c r="D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 ht="12.75" customHeight="1">
      <c r="D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 ht="12.75" customHeight="1">
      <c r="D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 ht="12.75" customHeight="1">
      <c r="D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 ht="12.75" customHeight="1">
      <c r="D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 ht="12.75" customHeight="1">
      <c r="D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 ht="12.75" customHeight="1">
      <c r="D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 ht="12.75" customHeight="1">
      <c r="D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 ht="12.75" customHeight="1">
      <c r="D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 ht="12.75" customHeight="1">
      <c r="D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 ht="12.75" customHeight="1">
      <c r="D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 ht="12.75" customHeight="1">
      <c r="D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 ht="12.75" customHeight="1">
      <c r="D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 ht="12.75" customHeight="1">
      <c r="D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 ht="12.75" customHeight="1">
      <c r="D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 ht="12.75" customHeight="1">
      <c r="D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 ht="12.75" customHeight="1">
      <c r="D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 ht="12.75" customHeight="1">
      <c r="D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 ht="12.75" customHeight="1">
      <c r="D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 ht="12.75" customHeight="1">
      <c r="D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 ht="12.75" customHeight="1">
      <c r="D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 ht="12.75" customHeight="1">
      <c r="D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 ht="12.75" customHeight="1">
      <c r="D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 ht="12.75" customHeight="1">
      <c r="D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 ht="12.75" customHeight="1">
      <c r="D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 ht="12.75" customHeight="1">
      <c r="D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 ht="12.75" customHeight="1">
      <c r="D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 ht="12.75" customHeight="1">
      <c r="D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 ht="12.75" customHeight="1">
      <c r="D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 ht="12.75" customHeight="1">
      <c r="D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 ht="12.75" customHeight="1">
      <c r="D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 ht="12.75" customHeight="1">
      <c r="D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 ht="12.75" customHeight="1">
      <c r="D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 ht="12.75" customHeight="1">
      <c r="D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 ht="12.75" customHeight="1">
      <c r="D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 ht="12.75" customHeight="1">
      <c r="D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 ht="12.75" customHeight="1">
      <c r="D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 ht="12.75" customHeight="1">
      <c r="D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 ht="12.75" customHeight="1">
      <c r="D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 ht="12.75" customHeight="1">
      <c r="D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 ht="12.75" customHeight="1">
      <c r="D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 ht="12.75" customHeight="1">
      <c r="D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 ht="12.75" customHeight="1">
      <c r="D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 ht="12.75" customHeight="1">
      <c r="D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 ht="12.75" customHeight="1">
      <c r="D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 ht="12.75" customHeight="1">
      <c r="D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 ht="12.75" customHeight="1">
      <c r="D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 ht="12.75" customHeight="1">
      <c r="D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 ht="12.75" customHeight="1">
      <c r="D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 ht="12.75" customHeight="1">
      <c r="D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 ht="12.75" customHeight="1">
      <c r="D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 ht="12.75" customHeight="1">
      <c r="D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 ht="12.75" customHeight="1">
      <c r="D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 ht="12.75" customHeight="1">
      <c r="D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 ht="12.75" customHeight="1">
      <c r="D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 ht="12.75" customHeight="1">
      <c r="D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 ht="12.75" customHeight="1">
      <c r="D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 ht="12.75" customHeight="1">
      <c r="D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 ht="12.75" customHeight="1">
      <c r="D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 ht="12.75" customHeight="1">
      <c r="D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 ht="12.75" customHeight="1">
      <c r="D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 ht="12.75" customHeight="1">
      <c r="D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 ht="12.75" customHeight="1">
      <c r="D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 ht="12.75" customHeight="1">
      <c r="D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 ht="12.75" customHeight="1">
      <c r="D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 ht="12.75" customHeight="1">
      <c r="D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 ht="12.75" customHeight="1">
      <c r="D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 ht="12.75" customHeight="1">
      <c r="D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 ht="12.75" customHeight="1">
      <c r="D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 ht="12.75" customHeight="1">
      <c r="D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 ht="12.75" customHeight="1">
      <c r="D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 ht="12.75" customHeight="1">
      <c r="D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 ht="12.75" customHeight="1">
      <c r="D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 ht="12.75" customHeight="1">
      <c r="D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 ht="12.75" customHeight="1">
      <c r="D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 ht="12.75" customHeight="1">
      <c r="D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 ht="12.75" customHeight="1">
      <c r="D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 ht="12.75" customHeight="1">
      <c r="D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 ht="12.75" customHeight="1">
      <c r="D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 ht="12.75" customHeight="1">
      <c r="D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 ht="12.75" customHeight="1">
      <c r="D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 ht="12.75" customHeight="1">
      <c r="D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 ht="12.75" customHeight="1">
      <c r="D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 ht="12.75" customHeight="1">
      <c r="D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 ht="12.75" customHeight="1">
      <c r="D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 ht="12.75" customHeight="1">
      <c r="D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 ht="12.75" customHeight="1">
      <c r="D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 ht="12.75" customHeight="1">
      <c r="D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 ht="12.75" customHeight="1">
      <c r="D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 ht="12.75" customHeight="1">
      <c r="D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 ht="12.75" customHeight="1">
      <c r="D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 ht="12.75" customHeight="1">
      <c r="D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 ht="12.75" customHeight="1">
      <c r="D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 ht="12.75" customHeight="1">
      <c r="D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 ht="12.75" customHeight="1">
      <c r="D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 ht="12.75" customHeight="1">
      <c r="D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 ht="12.75" customHeight="1">
      <c r="D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 ht="12.75" customHeight="1">
      <c r="D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 ht="12.75" customHeight="1">
      <c r="D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 ht="12.75" customHeight="1">
      <c r="D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 ht="12.75" customHeight="1">
      <c r="D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 ht="12.75" customHeight="1">
      <c r="D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 ht="12.75" customHeight="1">
      <c r="D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 ht="12.75" customHeight="1">
      <c r="D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 ht="12.75" customHeight="1">
      <c r="D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 ht="12.75" customHeight="1">
      <c r="D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 ht="12.75" customHeight="1">
      <c r="D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 ht="12.75" customHeight="1">
      <c r="D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 ht="12.75" customHeight="1">
      <c r="D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 ht="12.75" customHeight="1">
      <c r="D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 ht="12.75" customHeight="1">
      <c r="D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 ht="12.75" customHeight="1">
      <c r="D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 ht="12.75" customHeight="1">
      <c r="D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 ht="12.75" customHeight="1">
      <c r="D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 ht="12.75" customHeight="1">
      <c r="D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 ht="12.75" customHeight="1">
      <c r="D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 ht="12.75" customHeight="1">
      <c r="D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 ht="12.75" customHeight="1">
      <c r="D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 ht="12.75" customHeight="1">
      <c r="D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 ht="12.75" customHeight="1">
      <c r="D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 ht="12.75" customHeight="1">
      <c r="D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 ht="12.75" customHeight="1">
      <c r="D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 ht="12.75" customHeight="1">
      <c r="D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 ht="12.75" customHeight="1">
      <c r="D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 ht="12.75" customHeight="1">
      <c r="D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 ht="12.75" customHeight="1">
      <c r="D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 ht="12.75" customHeight="1">
      <c r="D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 ht="12.75" customHeight="1">
      <c r="D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 ht="12.75" customHeight="1">
      <c r="D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 ht="12.75" customHeight="1">
      <c r="D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 ht="12.75" customHeight="1">
      <c r="D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 ht="12.75" customHeight="1">
      <c r="D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 ht="12.75" customHeight="1">
      <c r="D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 ht="12.75" customHeight="1">
      <c r="D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 ht="12.75" customHeight="1">
      <c r="D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 ht="12.75" customHeight="1">
      <c r="D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 ht="12.75" customHeight="1">
      <c r="D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 ht="12.75" customHeight="1">
      <c r="D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 ht="12.75" customHeight="1">
      <c r="D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 ht="12.75" customHeight="1">
      <c r="D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 ht="12.75" customHeight="1">
      <c r="D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 ht="12.75" customHeight="1">
      <c r="D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 ht="12.75" customHeight="1">
      <c r="D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 ht="12.75" customHeight="1">
      <c r="D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 ht="12.75" customHeight="1">
      <c r="D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 ht="12.75" customHeight="1">
      <c r="D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 ht="12.75" customHeight="1">
      <c r="D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 ht="12.75" customHeight="1">
      <c r="D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 ht="12.75" customHeight="1">
      <c r="D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 ht="12.75" customHeight="1">
      <c r="D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 ht="12.75" customHeight="1">
      <c r="D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 ht="12.75" customHeight="1">
      <c r="D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 ht="12.75" customHeight="1">
      <c r="D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 ht="12.75" customHeight="1">
      <c r="D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 ht="12.75" customHeight="1">
      <c r="D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 ht="12.75" customHeight="1">
      <c r="D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 ht="12.75" customHeight="1">
      <c r="D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 ht="12.75" customHeight="1">
      <c r="D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 ht="12.75" customHeight="1">
      <c r="D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 ht="12.75" customHeight="1">
      <c r="D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 ht="12.75" customHeight="1">
      <c r="D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 ht="12.75" customHeight="1">
      <c r="D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 ht="12.75" customHeight="1">
      <c r="D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 ht="12.75" customHeight="1">
      <c r="D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 ht="12.75" customHeight="1">
      <c r="D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 ht="12.75" customHeight="1">
      <c r="D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 ht="12.75" customHeight="1">
      <c r="D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 ht="12.75" customHeight="1">
      <c r="D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 ht="12.75" customHeight="1">
      <c r="D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 ht="12.75" customHeight="1">
      <c r="D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 ht="12.75" customHeight="1">
      <c r="D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 ht="12.75" customHeight="1">
      <c r="D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 ht="12.75" customHeight="1">
      <c r="D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 ht="12.75" customHeight="1">
      <c r="D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 ht="12.75" customHeight="1">
      <c r="D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 ht="12.75" customHeight="1">
      <c r="D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 ht="12.75" customHeight="1">
      <c r="D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 ht="12.75" customHeight="1">
      <c r="D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 ht="12.75" customHeight="1">
      <c r="D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 ht="12.75" customHeight="1">
      <c r="D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 ht="12.75" customHeight="1">
      <c r="D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 ht="12.75" customHeight="1">
      <c r="D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 ht="12.75" customHeight="1">
      <c r="D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 ht="12.75" customHeight="1">
      <c r="D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 ht="12.75" customHeight="1">
      <c r="D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 ht="12.75" customHeight="1">
      <c r="D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 ht="12.75" customHeight="1">
      <c r="D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 ht="12.75" customHeight="1">
      <c r="D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 ht="12.75" customHeight="1">
      <c r="D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 ht="12.75" customHeight="1">
      <c r="D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 ht="12.75" customHeight="1">
      <c r="D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 ht="12.75" customHeight="1">
      <c r="D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 ht="12.75" customHeight="1">
      <c r="D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 ht="12.75" customHeight="1">
      <c r="D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 ht="12.75" customHeight="1">
      <c r="D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 ht="12.75" customHeight="1">
      <c r="D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 ht="12.75" customHeight="1">
      <c r="D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 ht="12.75" customHeight="1">
      <c r="D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 ht="12.75" customHeight="1">
      <c r="D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 ht="12.75" customHeight="1">
      <c r="D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 ht="12.75" customHeight="1">
      <c r="D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 ht="12.75" customHeight="1">
      <c r="D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 ht="12.75" customHeight="1">
      <c r="D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 ht="12.75" customHeight="1">
      <c r="D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 ht="12.75" customHeight="1">
      <c r="D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 ht="12.75" customHeight="1">
      <c r="D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 ht="12.75" customHeight="1">
      <c r="D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 ht="12.75" customHeight="1">
      <c r="D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 ht="12.75" customHeight="1">
      <c r="D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 ht="12.75" customHeight="1">
      <c r="D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 ht="12.75" customHeight="1">
      <c r="D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 ht="12.75" customHeight="1">
      <c r="D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 ht="12.75" customHeight="1">
      <c r="D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 ht="12.75" customHeight="1">
      <c r="D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 ht="12.75" customHeight="1">
      <c r="D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 ht="12.75" customHeight="1">
      <c r="D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 ht="12.75" customHeight="1">
      <c r="D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 ht="12.75" customHeight="1">
      <c r="D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 ht="12.75" customHeight="1">
      <c r="D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 ht="12.75" customHeight="1">
      <c r="D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 ht="12.75" customHeight="1">
      <c r="D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 ht="12.75" customHeight="1">
      <c r="D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 ht="12.75" customHeight="1">
      <c r="D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 ht="12.75" customHeight="1">
      <c r="D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 ht="12.75" customHeight="1">
      <c r="D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 ht="12.75" customHeight="1">
      <c r="D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 ht="12.75" customHeight="1">
      <c r="D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 ht="12.75" customHeight="1">
      <c r="D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 ht="12.75" customHeight="1">
      <c r="D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 ht="12.75" customHeight="1">
      <c r="D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 ht="12.75" customHeight="1">
      <c r="D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 ht="12.75" customHeight="1">
      <c r="D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 ht="12.75" customHeight="1">
      <c r="D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 ht="12.75" customHeight="1">
      <c r="D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 ht="12.75" customHeight="1">
      <c r="D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 ht="12.75" customHeight="1">
      <c r="D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 ht="12.75" customHeight="1">
      <c r="D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 ht="12.75" customHeight="1">
      <c r="D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 ht="12.75" customHeight="1">
      <c r="D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 ht="12.75" customHeight="1">
      <c r="D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 ht="12.75" customHeight="1">
      <c r="D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 ht="12.75" customHeight="1">
      <c r="D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 ht="12.75" customHeight="1">
      <c r="D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 ht="12.75" customHeight="1">
      <c r="D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 ht="12.75" customHeight="1">
      <c r="D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 ht="12.75" customHeight="1">
      <c r="D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 ht="12.75" customHeight="1">
      <c r="D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 ht="12.75" customHeight="1">
      <c r="D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 ht="12.75" customHeight="1">
      <c r="D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 ht="12.75" customHeight="1">
      <c r="D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 ht="12.75" customHeight="1">
      <c r="D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 ht="12.75" customHeight="1">
      <c r="D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 ht="12.75" customHeight="1">
      <c r="D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 ht="12.75" customHeight="1">
      <c r="D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 ht="12.75" customHeight="1">
      <c r="D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 ht="12.75" customHeight="1">
      <c r="D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 ht="12.75" customHeight="1">
      <c r="D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 ht="12.75" customHeight="1">
      <c r="D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 ht="12.75" customHeight="1">
      <c r="D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 ht="12.75" customHeight="1">
      <c r="D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 ht="12.75" customHeight="1">
      <c r="D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 ht="12.75" customHeight="1">
      <c r="D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 ht="12.75" customHeight="1">
      <c r="D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 ht="12.75" customHeight="1">
      <c r="D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 ht="12.75" customHeight="1">
      <c r="D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 ht="12.75" customHeight="1">
      <c r="D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 ht="12.75" customHeight="1">
      <c r="D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 ht="12.75" customHeight="1">
      <c r="D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 ht="12.75" customHeight="1">
      <c r="D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 ht="12.75" customHeight="1">
      <c r="D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 ht="12.75" customHeight="1">
      <c r="D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 ht="12.75" customHeight="1">
      <c r="D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 ht="12.75" customHeight="1">
      <c r="D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 ht="12.75" customHeight="1">
      <c r="D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 ht="12.75" customHeight="1">
      <c r="D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 ht="12.75" customHeight="1">
      <c r="D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 ht="12.75" customHeight="1">
      <c r="D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 ht="12.75" customHeight="1">
      <c r="D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 ht="12.75" customHeight="1">
      <c r="D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 ht="12.75" customHeight="1">
      <c r="D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 ht="12.75" customHeight="1">
      <c r="D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 ht="12.75" customHeight="1">
      <c r="D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 ht="12.75" customHeight="1">
      <c r="D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 ht="12.75" customHeight="1">
      <c r="D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 ht="12.75" customHeight="1">
      <c r="D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 ht="12.75" customHeight="1">
      <c r="D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 ht="12.75" customHeight="1">
      <c r="D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 ht="12.75" customHeight="1">
      <c r="D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 ht="12.75" customHeight="1">
      <c r="D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 ht="12.75" customHeight="1">
      <c r="D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 ht="12.75" customHeight="1">
      <c r="D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 ht="12.75" customHeight="1">
      <c r="D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 ht="12.75" customHeight="1">
      <c r="D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 ht="12.75" customHeight="1">
      <c r="D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 ht="12.75" customHeight="1">
      <c r="D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 ht="12.75" customHeight="1">
      <c r="D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 ht="12.75" customHeight="1">
      <c r="D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 ht="12.75" customHeight="1">
      <c r="D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 ht="12.75" customHeight="1">
      <c r="D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 ht="12.75" customHeight="1">
      <c r="D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 ht="12.75" customHeight="1">
      <c r="D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 ht="12.75" customHeight="1">
      <c r="D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 ht="12.75" customHeight="1">
      <c r="D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 ht="12.75" customHeight="1">
      <c r="D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 ht="12.75" customHeight="1">
      <c r="D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 ht="12.75" customHeight="1">
      <c r="D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 ht="12.75" customHeight="1">
      <c r="D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 ht="12.75" customHeight="1">
      <c r="D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 ht="12.75" customHeight="1">
      <c r="D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 ht="12.75" customHeight="1">
      <c r="D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 ht="12.75" customHeight="1">
      <c r="D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 ht="12.75" customHeight="1">
      <c r="D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 ht="12.75" customHeight="1">
      <c r="D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 ht="12.75" customHeight="1">
      <c r="D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 ht="12.75" customHeight="1">
      <c r="D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 ht="12.75" customHeight="1">
      <c r="D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 ht="12.75" customHeight="1">
      <c r="D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 ht="12.75" customHeight="1">
      <c r="D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 ht="12.75" customHeight="1">
      <c r="D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 ht="12.75" customHeight="1">
      <c r="D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 ht="12.75" customHeight="1">
      <c r="D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 ht="12.75" customHeight="1">
      <c r="D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 ht="12.75" customHeight="1">
      <c r="D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 ht="12.75" customHeight="1">
      <c r="D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 ht="12.75" customHeight="1">
      <c r="D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 ht="12.75" customHeight="1">
      <c r="D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 ht="12.75" customHeight="1">
      <c r="D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 ht="12.75" customHeight="1">
      <c r="D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 ht="12.75" customHeight="1">
      <c r="D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 ht="12.75" customHeight="1">
      <c r="D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 ht="12.75" customHeight="1">
      <c r="D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 ht="12.75" customHeight="1">
      <c r="D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 ht="12.75" customHeight="1">
      <c r="D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 ht="12.75" customHeight="1">
      <c r="D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 ht="12.75" customHeight="1">
      <c r="D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 ht="12.75" customHeight="1">
      <c r="D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 ht="12.75" customHeight="1">
      <c r="D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 ht="12.75" customHeight="1">
      <c r="D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 ht="12.75" customHeight="1">
      <c r="D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 ht="12.75" customHeight="1">
      <c r="D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 ht="12.75" customHeight="1">
      <c r="D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 ht="12.75" customHeight="1">
      <c r="D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 ht="12.75" customHeight="1">
      <c r="D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 ht="12.75" customHeight="1">
      <c r="D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 ht="12.75" customHeight="1">
      <c r="D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 ht="12.75" customHeight="1">
      <c r="D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 ht="12.75" customHeight="1">
      <c r="D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 ht="12.75" customHeight="1">
      <c r="D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 ht="12.75" customHeight="1">
      <c r="D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 ht="12.75" customHeight="1">
      <c r="D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 ht="12.75" customHeight="1">
      <c r="D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 ht="12.75" customHeight="1">
      <c r="D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 ht="12.75" customHeight="1">
      <c r="D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 ht="12.75" customHeight="1">
      <c r="D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 ht="12.75" customHeight="1">
      <c r="D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 ht="12.75" customHeight="1">
      <c r="D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 ht="12.75" customHeight="1">
      <c r="D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 ht="12.75" customHeight="1">
      <c r="D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 ht="12.75" customHeight="1">
      <c r="D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 ht="12.75" customHeight="1">
      <c r="D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 ht="12.75" customHeight="1">
      <c r="D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 ht="12.75" customHeight="1">
      <c r="D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 ht="12.75" customHeight="1">
      <c r="D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 ht="12.75" customHeight="1">
      <c r="D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 ht="12.75" customHeight="1">
      <c r="D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 ht="12.75" customHeight="1">
      <c r="D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 ht="12.75" customHeight="1">
      <c r="D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 ht="12.75" customHeight="1">
      <c r="D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 ht="12.75" customHeight="1">
      <c r="D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 ht="12.75" customHeight="1">
      <c r="D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 ht="12.75" customHeight="1">
      <c r="D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 ht="12.75" customHeight="1">
      <c r="D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 ht="12.75" customHeight="1">
      <c r="D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 ht="12.75" customHeight="1">
      <c r="D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 ht="12.75" customHeight="1">
      <c r="D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 ht="12.75" customHeight="1">
      <c r="D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 ht="12.75" customHeight="1">
      <c r="D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 ht="12.75" customHeight="1">
      <c r="D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 ht="12.75" customHeight="1">
      <c r="D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 ht="12.75" customHeight="1">
      <c r="D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 ht="12.75" customHeight="1">
      <c r="D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 ht="12.75" customHeight="1">
      <c r="D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 ht="12.75" customHeight="1">
      <c r="D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 ht="12.75" customHeight="1">
      <c r="D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 ht="12.75" customHeight="1">
      <c r="D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 ht="12.75" customHeight="1">
      <c r="D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 ht="12.75" customHeight="1">
      <c r="D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 ht="12.75" customHeight="1">
      <c r="D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 ht="12.75" customHeight="1">
      <c r="D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 ht="12.75" customHeight="1">
      <c r="D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 ht="12.75" customHeight="1">
      <c r="D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 ht="12.75" customHeight="1">
      <c r="D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 ht="12.75" customHeight="1">
      <c r="D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 ht="12.75" customHeight="1">
      <c r="D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 ht="12.75" customHeight="1">
      <c r="D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 ht="12.75" customHeight="1">
      <c r="D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 ht="12.75" customHeight="1">
      <c r="D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 ht="12.75" customHeight="1">
      <c r="D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 ht="12.75" customHeight="1">
      <c r="D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 ht="12.75" customHeight="1">
      <c r="D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 ht="12.75" customHeight="1">
      <c r="D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 ht="12.75" customHeight="1">
      <c r="D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 ht="12.75" customHeight="1">
      <c r="D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 ht="12.75" customHeight="1">
      <c r="D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 ht="12.75" customHeight="1">
      <c r="D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 ht="12.75" customHeight="1">
      <c r="D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 ht="12.75" customHeight="1">
      <c r="D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 ht="12.75" customHeight="1">
      <c r="D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 ht="12.75" customHeight="1">
      <c r="D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 ht="12.75" customHeight="1">
      <c r="D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 ht="12.75" customHeight="1">
      <c r="D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 ht="12.75" customHeight="1">
      <c r="D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 ht="12.75" customHeight="1">
      <c r="D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 ht="12.75" customHeight="1">
      <c r="D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 ht="12.75" customHeight="1">
      <c r="D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 ht="12.75" customHeight="1">
      <c r="D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 ht="12.75" customHeight="1">
      <c r="D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 ht="12.75" customHeight="1">
      <c r="D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 ht="12.75" customHeight="1">
      <c r="D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 ht="12.75" customHeight="1">
      <c r="D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 ht="12.75" customHeight="1">
      <c r="D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 ht="12.75" customHeight="1">
      <c r="D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 ht="12.75" customHeight="1">
      <c r="D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 ht="12.75" customHeight="1">
      <c r="D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 ht="12.75" customHeight="1">
      <c r="D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 ht="12.75" customHeight="1">
      <c r="D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 ht="12.75" customHeight="1">
      <c r="D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 ht="12.75" customHeight="1">
      <c r="D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 ht="12.75" customHeight="1">
      <c r="D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 ht="12.75" customHeight="1">
      <c r="D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 ht="12.75" customHeight="1">
      <c r="D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 ht="12.75" customHeight="1">
      <c r="D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 ht="12.75" customHeight="1">
      <c r="D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 ht="12.75" customHeight="1">
      <c r="D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 ht="12.75" customHeight="1">
      <c r="D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 ht="12.75" customHeight="1">
      <c r="D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 ht="12.75" customHeight="1">
      <c r="D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 ht="12.75" customHeight="1">
      <c r="D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 ht="12.75" customHeight="1">
      <c r="D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 ht="12.75" customHeight="1">
      <c r="D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 ht="12.75" customHeight="1">
      <c r="D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 ht="12.75" customHeight="1">
      <c r="D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 ht="12.75" customHeight="1">
      <c r="D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 ht="12.75" customHeight="1">
      <c r="D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 ht="12.75" customHeight="1">
      <c r="D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 ht="12.75" customHeight="1">
      <c r="D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 ht="12.75" customHeight="1">
      <c r="D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 ht="12.75" customHeight="1">
      <c r="D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 ht="12.75" customHeight="1">
      <c r="D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 ht="12.75" customHeight="1">
      <c r="D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</row>
    <row r="839" ht="12.75" customHeight="1">
      <c r="D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 ht="12.75" customHeight="1">
      <c r="D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 ht="12.75" customHeight="1">
      <c r="D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 ht="12.75" customHeight="1">
      <c r="D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 ht="12.75" customHeight="1">
      <c r="D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 ht="12.75" customHeight="1">
      <c r="D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 ht="12.75" customHeight="1">
      <c r="D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 ht="12.75" customHeight="1">
      <c r="D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 ht="12.75" customHeight="1">
      <c r="D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 ht="12.75" customHeight="1">
      <c r="D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 ht="12.75" customHeight="1">
      <c r="D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 ht="12.75" customHeight="1">
      <c r="D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 ht="12.75" customHeight="1">
      <c r="D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 ht="12.75" customHeight="1">
      <c r="D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 ht="12.75" customHeight="1">
      <c r="D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 ht="12.75" customHeight="1">
      <c r="D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 ht="12.75" customHeight="1">
      <c r="D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 ht="12.75" customHeight="1">
      <c r="D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 ht="12.75" customHeight="1">
      <c r="D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 ht="12.75" customHeight="1">
      <c r="D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 ht="12.75" customHeight="1">
      <c r="D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 ht="12.75" customHeight="1">
      <c r="D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 ht="12.75" customHeight="1">
      <c r="D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 ht="12.75" customHeight="1">
      <c r="D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 ht="12.75" customHeight="1">
      <c r="D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 ht="12.75" customHeight="1">
      <c r="D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 ht="12.75" customHeight="1">
      <c r="D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 ht="12.75" customHeight="1">
      <c r="D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 ht="12.75" customHeight="1">
      <c r="D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 ht="12.75" customHeight="1">
      <c r="D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 ht="12.75" customHeight="1">
      <c r="D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 ht="12.75" customHeight="1">
      <c r="D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</row>
    <row r="871" ht="12.75" customHeight="1">
      <c r="D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</row>
    <row r="872" ht="12.75" customHeight="1">
      <c r="D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 ht="12.75" customHeight="1">
      <c r="D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 ht="12.75" customHeight="1">
      <c r="D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</row>
    <row r="875" ht="12.75" customHeight="1">
      <c r="D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 ht="12.75" customHeight="1">
      <c r="D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</row>
    <row r="877" ht="12.75" customHeight="1">
      <c r="D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</row>
    <row r="878" ht="12.75" customHeight="1">
      <c r="D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 ht="12.75" customHeight="1">
      <c r="D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 ht="12.75" customHeight="1">
      <c r="D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</row>
    <row r="881" ht="12.75" customHeight="1">
      <c r="D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 ht="12.75" customHeight="1">
      <c r="D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</row>
    <row r="883" ht="12.75" customHeight="1">
      <c r="D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</row>
    <row r="884" ht="12.75" customHeight="1">
      <c r="D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</row>
    <row r="885" ht="12.75" customHeight="1">
      <c r="D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</row>
    <row r="886" ht="12.75" customHeight="1">
      <c r="D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 ht="12.75" customHeight="1">
      <c r="D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</row>
    <row r="888" ht="12.75" customHeight="1">
      <c r="D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 ht="12.75" customHeight="1">
      <c r="D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</row>
    <row r="890" ht="12.75" customHeight="1">
      <c r="D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 ht="12.75" customHeight="1">
      <c r="D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</row>
    <row r="892" ht="12.75" customHeight="1">
      <c r="D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 ht="12.75" customHeight="1">
      <c r="D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</row>
    <row r="894" ht="12.75" customHeight="1">
      <c r="D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</row>
    <row r="895" ht="12.75" customHeight="1">
      <c r="D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 ht="12.75" customHeight="1">
      <c r="D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</row>
    <row r="897" ht="12.75" customHeight="1">
      <c r="D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 ht="12.75" customHeight="1">
      <c r="D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</row>
    <row r="899" ht="12.75" customHeight="1">
      <c r="D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</row>
    <row r="900" ht="12.75" customHeight="1">
      <c r="D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</row>
    <row r="901" ht="12.75" customHeight="1">
      <c r="D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</row>
    <row r="902" ht="12.75" customHeight="1">
      <c r="D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 ht="12.75" customHeight="1">
      <c r="D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 ht="12.75" customHeight="1">
      <c r="D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 ht="12.75" customHeight="1">
      <c r="D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  <row r="906" ht="12.75" customHeight="1">
      <c r="D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</row>
    <row r="907" ht="12.75" customHeight="1">
      <c r="D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</row>
    <row r="908" ht="12.75" customHeight="1">
      <c r="D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</row>
    <row r="909" ht="12.75" customHeight="1">
      <c r="D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</row>
    <row r="910" ht="12.75" customHeight="1">
      <c r="D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</row>
    <row r="911" ht="12.75" customHeight="1">
      <c r="D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</row>
    <row r="912" ht="12.75" customHeight="1">
      <c r="D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</row>
    <row r="913" ht="12.75" customHeight="1">
      <c r="D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</row>
    <row r="914" ht="12.75" customHeight="1">
      <c r="D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</row>
    <row r="915" ht="12.75" customHeight="1">
      <c r="D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</row>
    <row r="916" ht="12.75" customHeight="1">
      <c r="D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</row>
    <row r="917" ht="12.75" customHeight="1">
      <c r="D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</row>
    <row r="918" ht="12.75" customHeight="1">
      <c r="D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</row>
    <row r="919" ht="12.75" customHeight="1">
      <c r="D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</row>
    <row r="920" ht="12.75" customHeight="1">
      <c r="D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</row>
    <row r="921" ht="12.75" customHeight="1">
      <c r="D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</row>
    <row r="922" ht="12.75" customHeight="1">
      <c r="D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</row>
    <row r="923" ht="12.75" customHeight="1">
      <c r="D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</row>
    <row r="924" ht="12.75" customHeight="1">
      <c r="D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</row>
    <row r="925" ht="12.75" customHeight="1">
      <c r="D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</row>
    <row r="926" ht="12.75" customHeight="1">
      <c r="D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</row>
    <row r="927" ht="12.75" customHeight="1">
      <c r="D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</row>
    <row r="928" ht="12.75" customHeight="1">
      <c r="D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</row>
    <row r="929" ht="12.75" customHeight="1">
      <c r="D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</row>
    <row r="930" ht="12.75" customHeight="1">
      <c r="D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</row>
    <row r="931" ht="12.75" customHeight="1">
      <c r="D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</row>
    <row r="932" ht="12.75" customHeight="1">
      <c r="D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</row>
    <row r="933" ht="12.75" customHeight="1">
      <c r="D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</row>
    <row r="934" ht="12.75" customHeight="1">
      <c r="D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</row>
    <row r="935" ht="12.75" customHeight="1">
      <c r="D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</row>
    <row r="936" ht="12.75" customHeight="1">
      <c r="D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</row>
    <row r="937" ht="12.75" customHeight="1">
      <c r="D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</row>
    <row r="938" ht="12.75" customHeight="1">
      <c r="D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</row>
    <row r="939" ht="12.75" customHeight="1">
      <c r="D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</row>
    <row r="940" ht="12.75" customHeight="1">
      <c r="D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</row>
    <row r="941" ht="12.75" customHeight="1">
      <c r="D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</row>
    <row r="942" ht="12.75" customHeight="1">
      <c r="D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</row>
    <row r="943" ht="12.75" customHeight="1">
      <c r="D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</row>
    <row r="944" ht="12.75" customHeight="1">
      <c r="D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</row>
    <row r="945" ht="12.75" customHeight="1">
      <c r="D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</row>
    <row r="946" ht="12.75" customHeight="1">
      <c r="D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</row>
    <row r="947" ht="12.75" customHeight="1">
      <c r="D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</row>
    <row r="948" ht="12.75" customHeight="1">
      <c r="D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</row>
    <row r="949" ht="12.75" customHeight="1">
      <c r="D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</row>
    <row r="950" ht="12.75" customHeight="1">
      <c r="D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</row>
    <row r="951" ht="12.75" customHeight="1">
      <c r="D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</row>
    <row r="952" ht="12.75" customHeight="1">
      <c r="D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</row>
    <row r="953" ht="12.75" customHeight="1">
      <c r="D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</row>
    <row r="954" ht="12.75" customHeight="1">
      <c r="D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</row>
    <row r="955" ht="12.75" customHeight="1">
      <c r="D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</row>
    <row r="956" ht="12.75" customHeight="1">
      <c r="D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</row>
    <row r="957" ht="12.75" customHeight="1">
      <c r="D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</row>
    <row r="958" ht="12.75" customHeight="1">
      <c r="D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</row>
    <row r="959" ht="12.75" customHeight="1">
      <c r="D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</row>
    <row r="960" ht="12.75" customHeight="1">
      <c r="D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</row>
    <row r="961" ht="12.75" customHeight="1">
      <c r="D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</row>
    <row r="962" ht="12.75" customHeight="1">
      <c r="D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</row>
    <row r="963" ht="12.75" customHeight="1">
      <c r="D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</row>
    <row r="964" ht="12.75" customHeight="1">
      <c r="D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</row>
    <row r="965" ht="12.75" customHeight="1">
      <c r="D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</row>
    <row r="966" ht="12.75" customHeight="1">
      <c r="D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</row>
    <row r="967" ht="12.75" customHeight="1">
      <c r="D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</row>
    <row r="968" ht="12.75" customHeight="1">
      <c r="D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</row>
    <row r="969" ht="12.75" customHeight="1">
      <c r="D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</row>
    <row r="970" ht="12.75" customHeight="1">
      <c r="D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</row>
    <row r="971" ht="12.75" customHeight="1">
      <c r="D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</row>
    <row r="972" ht="12.75" customHeight="1">
      <c r="D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</row>
    <row r="973" ht="12.75" customHeight="1">
      <c r="D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</row>
    <row r="974" ht="12.75" customHeight="1">
      <c r="D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</row>
    <row r="975" ht="12.75" customHeight="1">
      <c r="D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</row>
    <row r="976" ht="12.75" customHeight="1">
      <c r="D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</row>
    <row r="977" ht="12.75" customHeight="1">
      <c r="D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</row>
    <row r="978" ht="12.75" customHeight="1">
      <c r="D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</row>
    <row r="979" ht="12.75" customHeight="1">
      <c r="D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</row>
    <row r="980" ht="12.75" customHeight="1">
      <c r="D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</row>
    <row r="981" ht="12.75" customHeight="1">
      <c r="D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</row>
    <row r="982" ht="12.75" customHeight="1">
      <c r="D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</row>
    <row r="983" ht="12.75" customHeight="1">
      <c r="D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</row>
    <row r="984" ht="12.75" customHeight="1">
      <c r="D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</row>
    <row r="985" ht="12.75" customHeight="1">
      <c r="D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</row>
    <row r="986" ht="12.75" customHeight="1">
      <c r="D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</row>
    <row r="987" ht="12.75" customHeight="1">
      <c r="D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</row>
    <row r="988" ht="12.75" customHeight="1">
      <c r="D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</row>
    <row r="989" ht="12.75" customHeight="1">
      <c r="D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</row>
    <row r="990" ht="12.75" customHeight="1">
      <c r="D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</row>
    <row r="991" ht="12.75" customHeight="1">
      <c r="D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</row>
    <row r="992" ht="12.75" customHeight="1">
      <c r="D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</row>
    <row r="993" ht="12.75" customHeight="1">
      <c r="D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</row>
    <row r="994" ht="12.75" customHeight="1">
      <c r="D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</row>
    <row r="995" ht="12.75" customHeight="1">
      <c r="D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</row>
    <row r="996" ht="12.75" customHeight="1">
      <c r="D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</row>
    <row r="997" ht="12.75" customHeight="1">
      <c r="D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</row>
    <row r="998" ht="12.75" customHeight="1">
      <c r="D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</row>
    <row r="999" ht="12.75" customHeight="1">
      <c r="D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</row>
    <row r="1000" ht="12.75" customHeight="1">
      <c r="D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</row>
  </sheetData>
  <mergeCells count="3">
    <mergeCell ref="D3:H3"/>
    <mergeCell ref="D4:H4"/>
    <mergeCell ref="D5:H5"/>
  </mergeCells>
  <conditionalFormatting sqref="E22:E87 L22:AF65 C26:D65 F26:H87 I26:K65">
    <cfRule type="expression" dxfId="0" priority="1" stopIfTrue="1">
      <formula>$F18="Done"</formula>
    </cfRule>
  </conditionalFormatting>
  <conditionalFormatting sqref="E22:E87 L22:AF65 C26:D65 F26:H87 I26:K65">
    <cfRule type="expression" dxfId="1" priority="2" stopIfTrue="1">
      <formula>$F18="Ongoing"</formula>
    </cfRule>
  </conditionalFormatting>
  <conditionalFormatting sqref="B22:D65 E22:H87 I22:AF65">
    <cfRule type="expression" dxfId="0" priority="3" stopIfTrue="1">
      <formula>$F22="Terminado"</formula>
    </cfRule>
  </conditionalFormatting>
  <conditionalFormatting sqref="B22:D65 E22:H87 I22:AF65">
    <cfRule type="expression" dxfId="1" priority="4" stopIfTrue="1">
      <formula>$F22="En Progreso"</formula>
    </cfRule>
  </conditionalFormatting>
  <dataValidations>
    <dataValidation type="list" allowBlank="1" sqref="F10:F15 F22:F32">
      <formula1>"Por Hacer,En Progreso,Terminado"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25"/>
    <col customWidth="1" min="2" max="2" width="9.13"/>
    <col customWidth="1" min="3" max="3" width="60.63"/>
    <col customWidth="1" min="4" max="4" width="10.75"/>
    <col customWidth="1" min="5" max="5" width="13.75"/>
    <col customWidth="1" min="6" max="6" width="10.88"/>
    <col customWidth="1" min="7" max="7" width="9.63"/>
    <col customWidth="1" min="8" max="32" width="4.38"/>
    <col customWidth="1" min="33" max="33" width="9.13"/>
  </cols>
  <sheetData>
    <row r="1" ht="12.75" customHeight="1">
      <c r="D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ht="10.5" customHeight="1">
      <c r="B2" s="2"/>
      <c r="C2" s="3"/>
      <c r="D2" s="4"/>
      <c r="E2" s="5"/>
      <c r="F2" s="5"/>
      <c r="G2" s="5"/>
      <c r="H2" s="5"/>
      <c r="I2" s="4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4"/>
      <c r="W2" s="5"/>
      <c r="X2" s="5"/>
      <c r="Y2" s="5"/>
      <c r="Z2" s="5"/>
      <c r="AA2" s="5"/>
      <c r="AB2" s="5"/>
      <c r="AC2" s="5"/>
      <c r="AD2" s="5"/>
      <c r="AE2" s="5"/>
      <c r="AF2" s="6"/>
    </row>
    <row r="3" ht="15.0" customHeight="1">
      <c r="B3" s="7"/>
      <c r="C3" s="8" t="s">
        <v>0</v>
      </c>
      <c r="D3" s="9" t="s">
        <v>1</v>
      </c>
      <c r="E3" s="10"/>
      <c r="F3" s="10"/>
      <c r="G3" s="10"/>
      <c r="H3" s="11"/>
      <c r="I3" s="12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2"/>
      <c r="W3" s="13"/>
      <c r="X3" s="13"/>
      <c r="Y3" s="13"/>
      <c r="Z3" s="13"/>
      <c r="AA3" s="13"/>
      <c r="AB3" s="13"/>
      <c r="AC3" s="13"/>
      <c r="AD3" s="13"/>
      <c r="AE3" s="13"/>
      <c r="AF3" s="14"/>
    </row>
    <row r="4" ht="15.0" customHeight="1">
      <c r="B4" s="7"/>
      <c r="C4" s="8" t="s">
        <v>2</v>
      </c>
      <c r="D4" s="15"/>
      <c r="E4" s="10"/>
      <c r="F4" s="10"/>
      <c r="G4" s="10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2"/>
      <c r="W4" s="13"/>
      <c r="X4" s="13"/>
      <c r="Y4" s="13"/>
      <c r="Z4" s="13"/>
      <c r="AA4" s="13"/>
      <c r="AB4" s="13"/>
      <c r="AC4" s="13"/>
      <c r="AD4" s="13"/>
      <c r="AE4" s="13"/>
      <c r="AF4" s="14"/>
    </row>
    <row r="5" ht="15.0" customHeight="1">
      <c r="B5" s="7"/>
      <c r="C5" s="8" t="s">
        <v>3</v>
      </c>
      <c r="D5" s="15"/>
      <c r="E5" s="10"/>
      <c r="F5" s="10"/>
      <c r="G5" s="10"/>
      <c r="H5" s="11"/>
      <c r="I5" s="12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2"/>
      <c r="W5" s="13"/>
      <c r="X5" s="13"/>
      <c r="Y5" s="13"/>
      <c r="Z5" s="13"/>
      <c r="AA5" s="13"/>
      <c r="AB5" s="13"/>
      <c r="AC5" s="13"/>
      <c r="AD5" s="13"/>
      <c r="AE5" s="13"/>
      <c r="AF5" s="14"/>
    </row>
    <row r="6" ht="15.0" customHeight="1">
      <c r="B6" s="16"/>
      <c r="C6" s="17"/>
      <c r="D6" s="18"/>
      <c r="E6" s="18"/>
      <c r="F6" s="18"/>
      <c r="G6" s="18"/>
      <c r="H6" s="18"/>
      <c r="I6" s="19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19"/>
      <c r="W6" s="20"/>
      <c r="X6" s="20"/>
      <c r="Y6" s="20"/>
      <c r="Z6" s="20"/>
      <c r="AA6" s="20"/>
      <c r="AB6" s="20"/>
      <c r="AC6" s="20"/>
      <c r="AD6" s="20"/>
      <c r="AE6" s="20"/>
      <c r="AF6" s="21"/>
    </row>
    <row r="7" ht="12.75" customHeight="1">
      <c r="D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ht="12.75" customHeight="1">
      <c r="C8" s="44">
        <v>5.0</v>
      </c>
      <c r="D8" s="23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</row>
    <row r="9" ht="12.75" customHeight="1">
      <c r="D9" s="1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</row>
    <row r="10" ht="12.75" customHeight="1">
      <c r="D10" s="1"/>
      <c r="F10" s="25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ht="12.75" customHeight="1">
      <c r="D11" s="1"/>
      <c r="F11" s="25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ht="12.75" customHeight="1">
      <c r="D12" s="1"/>
      <c r="F12" s="25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ht="12.75" customHeight="1">
      <c r="D13" s="1"/>
      <c r="F13" s="25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ht="12.75" customHeight="1">
      <c r="D14" s="1"/>
      <c r="F14" s="25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ht="12.75" customHeight="1">
      <c r="D15" s="1"/>
      <c r="F15" s="25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ht="12.75" customHeight="1">
      <c r="B16" s="26"/>
      <c r="C16" s="26" t="s">
        <v>4</v>
      </c>
      <c r="D16" s="27">
        <v>7.0</v>
      </c>
      <c r="E16" s="26"/>
      <c r="F16" s="28"/>
      <c r="G16" s="26" t="s">
        <v>5</v>
      </c>
      <c r="H16" s="26" t="s">
        <v>6</v>
      </c>
      <c r="I16" s="26"/>
      <c r="J16" s="26"/>
      <c r="K16" s="26"/>
      <c r="L16" s="26"/>
      <c r="M16" s="26"/>
      <c r="N16" s="26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</row>
    <row r="17" ht="12.75" customHeight="1">
      <c r="B17" s="26"/>
      <c r="C17" s="26" t="s">
        <v>7</v>
      </c>
      <c r="D17" s="27">
        <v>7.0</v>
      </c>
      <c r="E17" s="26" t="s">
        <v>8</v>
      </c>
      <c r="F17" s="26" t="s">
        <v>9</v>
      </c>
      <c r="G17" s="29">
        <f>SUM(OFFSET(G21,1,0,'Sprint 5'!TaskRows,1))</f>
        <v>48</v>
      </c>
      <c r="H17" s="29">
        <f>IF(AND(SUM(OFFSET(H21,1,0,'Sprint 5'!TaskRows,1))=0),0,SUM(OFFSET(H21,1,0,'Sprint 5'!TaskRows,1)))</f>
        <v>48</v>
      </c>
      <c r="I17" s="29">
        <f>IF(AND(SUM(OFFSET(I21,1,0,'Sprint 5'!TaskRows,1))=0),"",SUM(OFFSET(I21,1,0,'Sprint 5'!TaskRows,1)))</f>
        <v>41</v>
      </c>
      <c r="J17" s="29">
        <f>IF(AND(SUM(OFFSET(J21,1,0,'Sprint 5'!TaskRows,1))=0),"",SUM(OFFSET(J21,1,0,'Sprint 5'!TaskRows,1)))</f>
        <v>38</v>
      </c>
      <c r="K17" s="29">
        <f>IF(AND(SUM(OFFSET(K21,1,0,'Sprint 5'!TaskRows,1))=0),"",SUM(OFFSET(K21,1,0,'Sprint 5'!TaskRows,1)))</f>
        <v>32</v>
      </c>
      <c r="L17" s="29">
        <f>IF(AND(SUM(OFFSET(L21,1,0,'Sprint 5'!TaskRows,1))=0),"",SUM(OFFSET(L21,1,0,'Sprint 5'!TaskRows,1)))</f>
        <v>29</v>
      </c>
      <c r="M17" s="29">
        <f>IF(AND(SUM(OFFSET(M21,1,0,'Sprint 5'!TaskRows,1))=0),"",SUM(OFFSET(M21,1,0,'Sprint 5'!TaskRows,1)))</f>
        <v>23</v>
      </c>
      <c r="N17" s="29">
        <f>IF(AND(SUM(OFFSET(N21,1,0,'Sprint 5'!TaskRows,1))=0),"",SUM(OFFSET(N21,1,0,'Sprint 5'!TaskRows,1)))</f>
        <v>21</v>
      </c>
      <c r="O17" s="29" t="str">
        <f>IF(AND(SUM(OFFSET(O21,1,0,'Sprint 5'!TaskRows,1))=0),"",SUM(OFFSET(O21,1,0,'Sprint 5'!TaskRows,1)))</f>
        <v/>
      </c>
      <c r="P17" s="29" t="str">
        <f>IF(AND(SUM(OFFSET(P21,1,0,'Sprint 5'!TaskRows,1))=0),"",SUM(OFFSET(P21,1,0,'Sprint 5'!TaskRows,1)))</f>
        <v/>
      </c>
      <c r="Q17" s="29" t="str">
        <f>IF(AND(SUM(OFFSET(Q21,1,0,'Sprint 5'!TaskRows,1))=0),"",SUM(OFFSET(Q21,1,0,'Sprint 5'!TaskRows,1)))</f>
        <v/>
      </c>
      <c r="R17" s="29" t="str">
        <f>IF(AND(SUM(OFFSET(R21,1,0,'Sprint 5'!TaskRows,1))=0),"",SUM(OFFSET(R21,1,0,'Sprint 5'!TaskRows,1)))</f>
        <v/>
      </c>
      <c r="S17" s="29" t="str">
        <f>IF(AND(SUM(OFFSET(S21,1,0,'Sprint 5'!TaskRows,1))=0),"",SUM(OFFSET(S21,1,0,'Sprint 5'!TaskRows,1)))</f>
        <v/>
      </c>
      <c r="T17" s="29" t="str">
        <f>IF(AND(SUM(OFFSET(T21,1,0,'Sprint 5'!TaskRows,1))=0),"",SUM(OFFSET(T21,1,0,'Sprint 5'!TaskRows,1)))</f>
        <v/>
      </c>
      <c r="U17" s="29" t="str">
        <f>IF(AND(SUM(OFFSET(U21,1,0,'Sprint 5'!TaskRows,1))=0),"",SUM(OFFSET(U21,1,0,'Sprint 5'!TaskRows,1)))</f>
        <v/>
      </c>
      <c r="V17" s="29" t="str">
        <f>IF(AND(SUM(OFFSET(V21,1,0,'Sprint 5'!TaskRows,1))=0),"",SUM(OFFSET(V21,1,0,'Sprint 5'!TaskRows,1)))</f>
        <v/>
      </c>
      <c r="W17" s="29" t="str">
        <f>IF(AND(SUM(OFFSET(W21,1,0,'Sprint 5'!TaskRows,1))=0),"",SUM(OFFSET(W21,1,0,'Sprint 5'!TaskRows,1)))</f>
        <v/>
      </c>
      <c r="X17" s="29" t="str">
        <f>IF(AND(SUM(OFFSET(X21,1,0,'Sprint 5'!TaskRows,1))=0),"",SUM(OFFSET(X21,1,0,'Sprint 5'!TaskRows,1)))</f>
        <v/>
      </c>
      <c r="Y17" s="29" t="str">
        <f>IF(AND(SUM(OFFSET(Y21,1,0,'Sprint 5'!TaskRows,1))=0),"",SUM(OFFSET(Y21,1,0,'Sprint 5'!TaskRows,1)))</f>
        <v/>
      </c>
      <c r="Z17" s="29" t="str">
        <f>IF(AND(SUM(OFFSET(Z21,1,0,'Sprint 5'!TaskRows,1))=0),"",SUM(OFFSET(Z21,1,0,'Sprint 5'!TaskRows,1)))</f>
        <v/>
      </c>
      <c r="AA17" s="29" t="str">
        <f>IF(AND(SUM(OFFSET(AA21,1,0,'Sprint 5'!TaskRows,1))=0),"",SUM(OFFSET(AA21,1,0,'Sprint 5'!TaskRows,1)))</f>
        <v/>
      </c>
      <c r="AB17" s="29" t="str">
        <f>IF(AND(SUM(OFFSET(AB21,1,0,'Sprint 5'!TaskRows,1))=0),"",SUM(OFFSET(AB21,1,0,'Sprint 5'!TaskRows,1)))</f>
        <v/>
      </c>
      <c r="AC17" s="29" t="str">
        <f>IF(AND(SUM(OFFSET(AC21,1,0,'Sprint 5'!TaskRows,1))=0),"",SUM(OFFSET(AC21,1,0,'Sprint 5'!TaskRows,1)))</f>
        <v/>
      </c>
      <c r="AD17" s="29" t="str">
        <f>IF(AND(SUM(OFFSET(AD21,1,0,'Sprint 5'!TaskRows,1))=0),"",SUM(OFFSET(AD21,1,0,'Sprint 5'!TaskRows,1)))</f>
        <v/>
      </c>
      <c r="AE17" s="29" t="str">
        <f>IF(AND(SUM(OFFSET(AE21,1,0,'Sprint 5'!TaskRows,1))=0),"",SUM(OFFSET(AE21,1,0,'Sprint 5'!TaskRows,1)))</f>
        <v/>
      </c>
      <c r="AF17" s="29" t="str">
        <f>IF(AND(SUM(OFFSET(AF21,1,0,'Sprint 5'!TaskRows,1))=0),"",SUM(OFFSET(AF21,1,0,'Sprint 5'!TaskRows,1)))</f>
        <v/>
      </c>
    </row>
    <row r="18" ht="12.75" hidden="1" customHeight="1">
      <c r="C18" s="25" t="s">
        <v>10</v>
      </c>
      <c r="D18" s="1">
        <f>IF(COUNTA(C22:C249)=0,1,COUNTA(C22:C249))</f>
        <v>7</v>
      </c>
      <c r="E18" s="25" t="s">
        <v>11</v>
      </c>
      <c r="F18" s="1">
        <f>IF(COUNTIF(H17:AF17,"&gt;0")=0,1,COUNTIF(H17:AF17,"&gt;0"))</f>
        <v>7</v>
      </c>
      <c r="G18" s="1"/>
      <c r="H18" s="1">
        <f>IF(H21="","",$G17-$G17/($D16-1)*(H21-1))</f>
        <v>48</v>
      </c>
      <c r="I18" s="1">
        <f>IF(I21="","",'Sprint 5'!TotalEffort-'Sprint 5'!TotalEffort/('Sprint 5'!ImplementationDays)*(I21-1))</f>
        <v>41.14285714</v>
      </c>
      <c r="J18" s="1">
        <f>IF(J21="","",'Sprint 5'!TotalEffort-'Sprint 5'!TotalEffort/('Sprint 5'!ImplementationDays)*(J21-1))</f>
        <v>34.28571429</v>
      </c>
      <c r="K18" s="1">
        <f>IF(K21="","",'Sprint 5'!TotalEffort-'Sprint 5'!TotalEffort/('Sprint 5'!ImplementationDays)*(K21-1))</f>
        <v>27.42857143</v>
      </c>
      <c r="L18" s="1">
        <f>IF(L21="","",'Sprint 5'!TotalEffort-'Sprint 5'!TotalEffort/('Sprint 5'!ImplementationDays)*(L21-1))</f>
        <v>20.57142857</v>
      </c>
      <c r="M18" s="1">
        <f>IF(M21="","",'Sprint 5'!TotalEffort-'Sprint 5'!TotalEffort/('Sprint 5'!ImplementationDays)*(M21-1))</f>
        <v>13.71428571</v>
      </c>
      <c r="N18" s="1">
        <f>IF(N21="","",'Sprint 5'!TotalEffort-'Sprint 5'!TotalEffort/('Sprint 5'!ImplementationDays)*(N21-1))</f>
        <v>6.857142857</v>
      </c>
      <c r="O18" s="1" t="str">
        <f>IF(O21="","",'Sprint 5'!TotalEffort-'Sprint 5'!TotalEffort/('Sprint 5'!ImplementationDays)*(O21-1))</f>
        <v/>
      </c>
      <c r="P18" s="1" t="str">
        <f>IF(P21="","",'Sprint 5'!TotalEffort-'Sprint 5'!TotalEffort/('Sprint 5'!ImplementationDays)*(P21-1))</f>
        <v/>
      </c>
      <c r="Q18" s="1" t="str">
        <f>IF(Q21="","",'Sprint 5'!TotalEffort-'Sprint 5'!TotalEffort/('Sprint 5'!ImplementationDays)*(Q21-1))</f>
        <v/>
      </c>
      <c r="R18" s="1" t="str">
        <f>IF(R21="","",'Sprint 5'!TotalEffort-'Sprint 5'!TotalEffort/('Sprint 5'!ImplementationDays)*(R21-1))</f>
        <v/>
      </c>
      <c r="S18" s="1" t="str">
        <f>IF(S21="","",'Sprint 5'!TotalEffort-'Sprint 5'!TotalEffort/('Sprint 5'!ImplementationDays)*(S21-1))</f>
        <v/>
      </c>
      <c r="T18" s="1" t="str">
        <f>IF(T21="","",'Sprint 5'!TotalEffort-'Sprint 5'!TotalEffort/('Sprint 5'!ImplementationDays)*(T21-1))</f>
        <v/>
      </c>
      <c r="U18" s="1" t="str">
        <f>IF(U21="","",'Sprint 5'!TotalEffort-'Sprint 5'!TotalEffort/('Sprint 5'!ImplementationDays)*(U21-1))</f>
        <v/>
      </c>
      <c r="V18" s="1" t="str">
        <f>IF(V21="","",'Sprint 5'!TotalEffort-'Sprint 5'!TotalEffort/('Sprint 5'!ImplementationDays)*(V21-1))</f>
        <v/>
      </c>
      <c r="W18" s="1" t="str">
        <f>IF(W21="","",'Sprint 5'!TotalEffort-'Sprint 5'!TotalEffort/('Sprint 5'!ImplementationDays)*(W21-1))</f>
        <v/>
      </c>
      <c r="X18" s="1" t="str">
        <f>IF(X21="","",'Sprint 5'!TotalEffort-'Sprint 5'!TotalEffort/('Sprint 5'!ImplementationDays)*(X21-1))</f>
        <v/>
      </c>
      <c r="Y18" s="1" t="str">
        <f>IF(Y21="","",'Sprint 5'!TotalEffort-'Sprint 5'!TotalEffort/('Sprint 5'!ImplementationDays)*(Y21-1))</f>
        <v/>
      </c>
      <c r="Z18" s="1" t="str">
        <f>IF(Z21="","",'Sprint 5'!TotalEffort-'Sprint 5'!TotalEffort/('Sprint 5'!ImplementationDays)*(Z21-1))</f>
        <v/>
      </c>
      <c r="AA18" s="1" t="str">
        <f>IF(AA21="","",'Sprint 5'!TotalEffort-'Sprint 5'!TotalEffort/('Sprint 5'!ImplementationDays)*(AA21-1))</f>
        <v/>
      </c>
      <c r="AB18" s="1" t="str">
        <f>IF(AB21="","",'Sprint 5'!TotalEffort-'Sprint 5'!TotalEffort/('Sprint 5'!ImplementationDays)*(AB21-1))</f>
        <v/>
      </c>
      <c r="AC18" s="1" t="str">
        <f>IF(AC21="","",'Sprint 5'!TotalEffort-'Sprint 5'!TotalEffort/('Sprint 5'!ImplementationDays)*(AC21-1))</f>
        <v/>
      </c>
      <c r="AD18" s="1" t="str">
        <f>IF(AD21="","",'Sprint 5'!TotalEffort-'Sprint 5'!TotalEffort/('Sprint 5'!ImplementationDays)*(AD21-1))</f>
        <v/>
      </c>
      <c r="AE18" s="1" t="str">
        <f>IF(AE21="","",'Sprint 5'!TotalEffort-'Sprint 5'!TotalEffort/('Sprint 5'!ImplementationDays)*(AE21-1))</f>
        <v/>
      </c>
      <c r="AF18" s="1" t="str">
        <f>IF(AF21="","",'Sprint 5'!TotalEffort-'Sprint 5'!TotalEffort/('Sprint 5'!ImplementationDays)*(AF21-1))</f>
        <v/>
      </c>
    </row>
    <row r="19" ht="12.75" hidden="1" customHeight="1">
      <c r="C19" s="30" t="s">
        <v>12</v>
      </c>
      <c r="E19" s="25" t="s">
        <v>13</v>
      </c>
      <c r="F19" s="1"/>
      <c r="G19" s="1"/>
      <c r="H19" s="1">
        <f t="array" ref="H19">IF(TREND(OFFSET($H17,0,'Sprint 5'!DoneDays-'Sprint 5'!TrendDays,1,'Sprint 5'!TrendDays),OFFSET($H20,0,'Sprint 5'!DoneDays-'Sprint 5'!TrendDays,1,'Sprint 5'!TrendDays),H20)&lt;0,"",TREND(OFFSET($H17,0,'Sprint 5'!DoneDays-'Sprint 5'!TrendDays,1,'Sprint 5'!TrendDays),OFFSET($H20,0,'Sprint 5'!DoneDays-'Sprint 5'!TrendDays,1,'Sprint 5'!TrendDays),H20))</f>
        <v>46.64285714</v>
      </c>
      <c r="I19" s="1">
        <f t="array" ref="I19">IF(TREND(OFFSET($H17,0,'Sprint 5'!DoneDays-'Sprint 5'!TrendDays,1,'Sprint 5'!TrendDays),OFFSET($H20,0,'Sprint 5'!DoneDays-'Sprint 5'!TrendDays,1,'Sprint 5'!TrendDays),I20)&lt;0,"",TREND(OFFSET($H17,0,'Sprint 5'!DoneDays-'Sprint 5'!TrendDays,1,'Sprint 5'!TrendDays),OFFSET($H20,0,'Sprint 5'!DoneDays-'Sprint 5'!TrendDays,1,'Sprint 5'!TrendDays),I20))</f>
        <v>42.14285714</v>
      </c>
      <c r="J19" s="1">
        <f t="array" ref="J19">IF(TREND(OFFSET($H17,0,'Sprint 5'!DoneDays-'Sprint 5'!TrendDays,1,'Sprint 5'!TrendDays),OFFSET($H20,0,'Sprint 5'!DoneDays-'Sprint 5'!TrendDays,1,'Sprint 5'!TrendDays),J20)&lt;0,"",TREND(OFFSET($H17,0,'Sprint 5'!DoneDays-'Sprint 5'!TrendDays,1,'Sprint 5'!TrendDays),OFFSET($H20,0,'Sprint 5'!DoneDays-'Sprint 5'!TrendDays,1,'Sprint 5'!TrendDays),J20))</f>
        <v>37.64285714</v>
      </c>
      <c r="K19" s="1">
        <f t="array" ref="K19">IF(TREND(OFFSET($H17,0,'Sprint 5'!DoneDays-'Sprint 5'!TrendDays,1,'Sprint 5'!TrendDays),OFFSET($H20,0,'Sprint 5'!DoneDays-'Sprint 5'!TrendDays,1,'Sprint 5'!TrendDays),K20)&lt;0,"",TREND(OFFSET($H17,0,'Sprint 5'!DoneDays-'Sprint 5'!TrendDays,1,'Sprint 5'!TrendDays),OFFSET($H20,0,'Sprint 5'!DoneDays-'Sprint 5'!TrendDays,1,'Sprint 5'!TrendDays),K20))</f>
        <v>33.14285714</v>
      </c>
      <c r="L19" s="1">
        <f t="array" ref="L19">IF(TREND(OFFSET($H17,0,'Sprint 5'!DoneDays-'Sprint 5'!TrendDays,1,'Sprint 5'!TrendDays),OFFSET($H20,0,'Sprint 5'!DoneDays-'Sprint 5'!TrendDays,1,'Sprint 5'!TrendDays),L20)&lt;0,"",TREND(OFFSET($H17,0,'Sprint 5'!DoneDays-'Sprint 5'!TrendDays,1,'Sprint 5'!TrendDays),OFFSET($H20,0,'Sprint 5'!DoneDays-'Sprint 5'!TrendDays,1,'Sprint 5'!TrendDays),L20))</f>
        <v>28.64285714</v>
      </c>
      <c r="M19" s="1">
        <f t="array" ref="M19">IF(TREND(OFFSET($H17,0,'Sprint 5'!DoneDays-'Sprint 5'!TrendDays,1,'Sprint 5'!TrendDays),OFFSET($H20,0,'Sprint 5'!DoneDays-'Sprint 5'!TrendDays,1,'Sprint 5'!TrendDays),M20)&lt;0,"",TREND(OFFSET($H17,0,'Sprint 5'!DoneDays-'Sprint 5'!TrendDays,1,'Sprint 5'!TrendDays),OFFSET($H20,0,'Sprint 5'!DoneDays-'Sprint 5'!TrendDays,1,'Sprint 5'!TrendDays),M20))</f>
        <v>24.14285714</v>
      </c>
      <c r="N19" s="1">
        <f t="array" ref="N19">IF(TREND(OFFSET($H17,0,'Sprint 5'!DoneDays-'Sprint 5'!TrendDays,1,'Sprint 5'!TrendDays),OFFSET($H20,0,'Sprint 5'!DoneDays-'Sprint 5'!TrendDays,1,'Sprint 5'!TrendDays),N20)&lt;0,"",TREND(OFFSET($H17,0,'Sprint 5'!DoneDays-'Sprint 5'!TrendDays,1,'Sprint 5'!TrendDays),OFFSET($H20,0,'Sprint 5'!DoneDays-'Sprint 5'!TrendDays,1,'Sprint 5'!TrendDays),N20))</f>
        <v>19.64285714</v>
      </c>
      <c r="O19" s="1">
        <f t="array" ref="O19">IF(TREND(OFFSET($H17,0,'Sprint 5'!DoneDays-'Sprint 5'!TrendDays,1,'Sprint 5'!TrendDays),OFFSET($H20,0,'Sprint 5'!DoneDays-'Sprint 5'!TrendDays,1,'Sprint 5'!TrendDays),O20)&lt;0,"",TREND(OFFSET($H17,0,'Sprint 5'!DoneDays-'Sprint 5'!TrendDays,1,'Sprint 5'!TrendDays),OFFSET($H20,0,'Sprint 5'!DoneDays-'Sprint 5'!TrendDays,1,'Sprint 5'!TrendDays),O20))</f>
        <v>15.14285714</v>
      </c>
      <c r="P19" s="1">
        <f t="array" ref="P19">IF(TREND(OFFSET($H17,0,'Sprint 5'!DoneDays-'Sprint 5'!TrendDays,1,'Sprint 5'!TrendDays),OFFSET($H20,0,'Sprint 5'!DoneDays-'Sprint 5'!TrendDays,1,'Sprint 5'!TrendDays),P20)&lt;0,"",TREND(OFFSET($H17,0,'Sprint 5'!DoneDays-'Sprint 5'!TrendDays,1,'Sprint 5'!TrendDays),OFFSET($H20,0,'Sprint 5'!DoneDays-'Sprint 5'!TrendDays,1,'Sprint 5'!TrendDays),P20))</f>
        <v>10.64285714</v>
      </c>
      <c r="Q19" s="1">
        <f t="array" ref="Q19">IF(TREND(OFFSET($H17,0,'Sprint 5'!DoneDays-'Sprint 5'!TrendDays,1,'Sprint 5'!TrendDays),OFFSET($H20,0,'Sprint 5'!DoneDays-'Sprint 5'!TrendDays,1,'Sprint 5'!TrendDays),Q20)&lt;0,"",TREND(OFFSET($H17,0,'Sprint 5'!DoneDays-'Sprint 5'!TrendDays,1,'Sprint 5'!TrendDays),OFFSET($H20,0,'Sprint 5'!DoneDays-'Sprint 5'!TrendDays,1,'Sprint 5'!TrendDays),Q20))</f>
        <v>6.142857143</v>
      </c>
      <c r="R19" s="1">
        <f t="array" ref="R19">IF(TREND(OFFSET($H17,0,'Sprint 5'!DoneDays-'Sprint 5'!TrendDays,1,'Sprint 5'!TrendDays),OFFSET($H20,0,'Sprint 5'!DoneDays-'Sprint 5'!TrendDays,1,'Sprint 5'!TrendDays),R20)&lt;0,"",TREND(OFFSET($H17,0,'Sprint 5'!DoneDays-'Sprint 5'!TrendDays,1,'Sprint 5'!TrendDays),OFFSET($H20,0,'Sprint 5'!DoneDays-'Sprint 5'!TrendDays,1,'Sprint 5'!TrendDays),R20))</f>
        <v>1.642857143</v>
      </c>
      <c r="S19" s="1" t="str">
        <f t="array" ref="S19">IF(TREND(OFFSET($H17,0,'Sprint 5'!DoneDays-'Sprint 5'!TrendDays,1,'Sprint 5'!TrendDays),OFFSET($H20,0,'Sprint 5'!DoneDays-'Sprint 5'!TrendDays,1,'Sprint 5'!TrendDays),S20)&lt;0,"",TREND(OFFSET($H17,0,'Sprint 5'!DoneDays-'Sprint 5'!TrendDays,1,'Sprint 5'!TrendDays),OFFSET($H20,0,'Sprint 5'!DoneDays-'Sprint 5'!TrendDays,1,'Sprint 5'!TrendDays),S20))</f>
        <v/>
      </c>
      <c r="T19" s="1" t="str">
        <f t="array" ref="T19">IF(TREND(OFFSET($H17,0,'Sprint 5'!DoneDays-'Sprint 5'!TrendDays,1,'Sprint 5'!TrendDays),OFFSET($H20,0,'Sprint 5'!DoneDays-'Sprint 5'!TrendDays,1,'Sprint 5'!TrendDays),T20)&lt;0,"",TREND(OFFSET($H17,0,'Sprint 5'!DoneDays-'Sprint 5'!TrendDays,1,'Sprint 5'!TrendDays),OFFSET($H20,0,'Sprint 5'!DoneDays-'Sprint 5'!TrendDays,1,'Sprint 5'!TrendDays),T20))</f>
        <v/>
      </c>
      <c r="U19" s="1" t="str">
        <f t="array" ref="U19">IF(TREND(OFFSET($H17,0,'Sprint 5'!DoneDays-'Sprint 5'!TrendDays,1,'Sprint 5'!TrendDays),OFFSET($H20,0,'Sprint 5'!DoneDays-'Sprint 5'!TrendDays,1,'Sprint 5'!TrendDays),U20)&lt;0,"",TREND(OFFSET($H17,0,'Sprint 5'!DoneDays-'Sprint 5'!TrendDays,1,'Sprint 5'!TrendDays),OFFSET($H20,0,'Sprint 5'!DoneDays-'Sprint 5'!TrendDays,1,'Sprint 5'!TrendDays),U20))</f>
        <v/>
      </c>
      <c r="V19" s="1" t="str">
        <f t="array" ref="V19">IF(TREND(OFFSET($H17,0,'Sprint 5'!DoneDays-'Sprint 5'!TrendDays,1,'Sprint 5'!TrendDays),OFFSET($H20,0,'Sprint 5'!DoneDays-'Sprint 5'!TrendDays,1,'Sprint 5'!TrendDays),V20)&lt;0,"",TREND(OFFSET($H17,0,'Sprint 5'!DoneDays-'Sprint 5'!TrendDays,1,'Sprint 5'!TrendDays),OFFSET($H20,0,'Sprint 5'!DoneDays-'Sprint 5'!TrendDays,1,'Sprint 5'!TrendDays),V20))</f>
        <v/>
      </c>
      <c r="W19" s="1" t="str">
        <f t="array" ref="W19">IF(TREND(OFFSET($H17,0,'Sprint 5'!DoneDays-'Sprint 5'!TrendDays,1,'Sprint 5'!TrendDays),OFFSET($H20,0,'Sprint 5'!DoneDays-'Sprint 5'!TrendDays,1,'Sprint 5'!TrendDays),W20)&lt;0,"",TREND(OFFSET($H17,0,'Sprint 5'!DoneDays-'Sprint 5'!TrendDays,1,'Sprint 5'!TrendDays),OFFSET($H20,0,'Sprint 5'!DoneDays-'Sprint 5'!TrendDays,1,'Sprint 5'!TrendDays),W20))</f>
        <v/>
      </c>
      <c r="X19" s="1" t="str">
        <f t="array" ref="X19">IF(TREND(OFFSET($H17,0,'Sprint 5'!DoneDays-'Sprint 5'!TrendDays,1,'Sprint 5'!TrendDays),OFFSET($H20,0,'Sprint 5'!DoneDays-'Sprint 5'!TrendDays,1,'Sprint 5'!TrendDays),X20)&lt;0,"",TREND(OFFSET($H17,0,'Sprint 5'!DoneDays-'Sprint 5'!TrendDays,1,'Sprint 5'!TrendDays),OFFSET($H20,0,'Sprint 5'!DoneDays-'Sprint 5'!TrendDays,1,'Sprint 5'!TrendDays),X20))</f>
        <v/>
      </c>
      <c r="Y19" s="1" t="str">
        <f t="array" ref="Y19">IF(TREND(OFFSET($H17,0,'Sprint 5'!DoneDays-'Sprint 5'!TrendDays,1,'Sprint 5'!TrendDays),OFFSET($H20,0,'Sprint 5'!DoneDays-'Sprint 5'!TrendDays,1,'Sprint 5'!TrendDays),Y20)&lt;0,"",TREND(OFFSET($H17,0,'Sprint 5'!DoneDays-'Sprint 5'!TrendDays,1,'Sprint 5'!TrendDays),OFFSET($H20,0,'Sprint 5'!DoneDays-'Sprint 5'!TrendDays,1,'Sprint 5'!TrendDays),Y20))</f>
        <v/>
      </c>
      <c r="Z19" s="1" t="str">
        <f t="array" ref="Z19">IF(TREND(OFFSET($H17,0,'Sprint 5'!DoneDays-'Sprint 5'!TrendDays,1,'Sprint 5'!TrendDays),OFFSET($H20,0,'Sprint 5'!DoneDays-'Sprint 5'!TrendDays,1,'Sprint 5'!TrendDays),Z20)&lt;0,"",TREND(OFFSET($H17,0,'Sprint 5'!DoneDays-'Sprint 5'!TrendDays,1,'Sprint 5'!TrendDays),OFFSET($H20,0,'Sprint 5'!DoneDays-'Sprint 5'!TrendDays,1,'Sprint 5'!TrendDays),Z20))</f>
        <v/>
      </c>
      <c r="AA19" s="1" t="str">
        <f t="array" ref="AA19">IF(TREND(OFFSET($H17,0,'Sprint 5'!DoneDays-'Sprint 5'!TrendDays,1,'Sprint 5'!TrendDays),OFFSET($H20,0,'Sprint 5'!DoneDays-'Sprint 5'!TrendDays,1,'Sprint 5'!TrendDays),AA20)&lt;0,"",TREND(OFFSET($H17,0,'Sprint 5'!DoneDays-'Sprint 5'!TrendDays,1,'Sprint 5'!TrendDays),OFFSET($H20,0,'Sprint 5'!DoneDays-'Sprint 5'!TrendDays,1,'Sprint 5'!TrendDays),AA20))</f>
        <v/>
      </c>
      <c r="AB19" s="1" t="str">
        <f t="array" ref="AB19">IF(TREND(OFFSET($H17,0,'Sprint 5'!DoneDays-'Sprint 5'!TrendDays,1,'Sprint 5'!TrendDays),OFFSET($H20,0,'Sprint 5'!DoneDays-'Sprint 5'!TrendDays,1,'Sprint 5'!TrendDays),AB20)&lt;0,"",TREND(OFFSET($H17,0,'Sprint 5'!DoneDays-'Sprint 5'!TrendDays,1,'Sprint 5'!TrendDays),OFFSET($H20,0,'Sprint 5'!DoneDays-'Sprint 5'!TrendDays,1,'Sprint 5'!TrendDays),AB20))</f>
        <v/>
      </c>
      <c r="AC19" s="1" t="str">
        <f t="array" ref="AC19">IF(TREND(OFFSET($H17,0,'Sprint 5'!DoneDays-'Sprint 5'!TrendDays,1,'Sprint 5'!TrendDays),OFFSET($H20,0,'Sprint 5'!DoneDays-'Sprint 5'!TrendDays,1,'Sprint 5'!TrendDays),AC20)&lt;0,"",TREND(OFFSET($H17,0,'Sprint 5'!DoneDays-'Sprint 5'!TrendDays,1,'Sprint 5'!TrendDays),OFFSET($H20,0,'Sprint 5'!DoneDays-'Sprint 5'!TrendDays,1,'Sprint 5'!TrendDays),AC20))</f>
        <v/>
      </c>
      <c r="AD19" s="1" t="str">
        <f t="array" ref="AD19">IF(TREND(OFFSET($H17,0,'Sprint 5'!DoneDays-'Sprint 5'!TrendDays,1,'Sprint 5'!TrendDays),OFFSET($H20,0,'Sprint 5'!DoneDays-'Sprint 5'!TrendDays,1,'Sprint 5'!TrendDays),AD20)&lt;0,"",TREND(OFFSET($H17,0,'Sprint 5'!DoneDays-'Sprint 5'!TrendDays,1,'Sprint 5'!TrendDays),OFFSET($H20,0,'Sprint 5'!DoneDays-'Sprint 5'!TrendDays,1,'Sprint 5'!TrendDays),AD20))</f>
        <v/>
      </c>
      <c r="AE19" s="1" t="str">
        <f t="array" ref="AE19">IF(TREND(OFFSET($H17,0,'Sprint 5'!DoneDays-'Sprint 5'!TrendDays,1,'Sprint 5'!TrendDays),OFFSET($H20,0,'Sprint 5'!DoneDays-'Sprint 5'!TrendDays,1,'Sprint 5'!TrendDays),AE20)&lt;0,"",TREND(OFFSET($H17,0,'Sprint 5'!DoneDays-'Sprint 5'!TrendDays,1,'Sprint 5'!TrendDays),OFFSET($H20,0,'Sprint 5'!DoneDays-'Sprint 5'!TrendDays,1,'Sprint 5'!TrendDays),AE20))</f>
        <v/>
      </c>
      <c r="AF19" s="1" t="str">
        <f t="array" ref="AF19">IF(TREND(OFFSET($H17,0,'Sprint 5'!DoneDays-'Sprint 5'!TrendDays,1,'Sprint 5'!TrendDays),OFFSET($H20,0,'Sprint 5'!DoneDays-'Sprint 5'!TrendDays,1,'Sprint 5'!TrendDays),AF20)&lt;0,"",TREND(OFFSET($H17,0,'Sprint 5'!DoneDays-'Sprint 5'!TrendDays,1,'Sprint 5'!TrendDays),OFFSET($H20,0,'Sprint 5'!DoneDays-'Sprint 5'!TrendDays,1,'Sprint 5'!TrendDays),AF20))</f>
        <v/>
      </c>
    </row>
    <row r="20" ht="12.75" hidden="1" customHeight="1">
      <c r="C20" s="30" t="s">
        <v>14</v>
      </c>
      <c r="E20" s="25" t="s">
        <v>15</v>
      </c>
      <c r="F20" s="1">
        <f>IF('Sprint 5'!DoneDays&gt;D17,D17,'Sprint 5'!DoneDays)</f>
        <v>7</v>
      </c>
      <c r="G20" s="1"/>
      <c r="H20" s="1">
        <f>IF('Sprint 5'!DoneDays&gt;G20,G20+1,"")</f>
        <v>1</v>
      </c>
      <c r="I20" s="1">
        <v>2.0</v>
      </c>
      <c r="J20" s="1">
        <v>3.0</v>
      </c>
      <c r="K20" s="1">
        <v>4.0</v>
      </c>
      <c r="L20" s="1">
        <v>5.0</v>
      </c>
      <c r="M20" s="1">
        <v>6.0</v>
      </c>
      <c r="N20" s="1">
        <v>7.0</v>
      </c>
      <c r="O20" s="1">
        <v>8.0</v>
      </c>
      <c r="P20" s="1">
        <v>9.0</v>
      </c>
      <c r="Q20" s="1">
        <v>10.0</v>
      </c>
      <c r="R20" s="1">
        <v>11.0</v>
      </c>
      <c r="S20" s="1">
        <v>12.0</v>
      </c>
      <c r="T20" s="1">
        <v>13.0</v>
      </c>
      <c r="U20" s="1">
        <v>14.0</v>
      </c>
      <c r="V20" s="1">
        <v>15.0</v>
      </c>
      <c r="W20" s="1">
        <v>16.0</v>
      </c>
      <c r="X20" s="1">
        <v>17.0</v>
      </c>
      <c r="Y20" s="1">
        <v>18.0</v>
      </c>
      <c r="Z20" s="1">
        <v>19.0</v>
      </c>
      <c r="AA20" s="1">
        <v>20.0</v>
      </c>
      <c r="AB20" s="1">
        <v>21.0</v>
      </c>
      <c r="AC20" s="1">
        <v>22.0</v>
      </c>
      <c r="AD20" s="1">
        <v>23.0</v>
      </c>
      <c r="AE20" s="1">
        <v>24.0</v>
      </c>
      <c r="AF20" s="1">
        <v>25.0</v>
      </c>
    </row>
    <row r="21" ht="12.75" customHeight="1">
      <c r="B21" s="26" t="s">
        <v>16</v>
      </c>
      <c r="C21" s="31" t="s">
        <v>17</v>
      </c>
      <c r="D21" s="31" t="s">
        <v>18</v>
      </c>
      <c r="E21" s="31" t="s">
        <v>19</v>
      </c>
      <c r="F21" s="31" t="s">
        <v>20</v>
      </c>
      <c r="G21" s="31" t="s">
        <v>21</v>
      </c>
      <c r="H21" s="31">
        <v>1.0</v>
      </c>
      <c r="I21" s="31">
        <f t="shared" ref="I21:AF21" si="1">IF($D$16&gt;H21,H21+1,"")</f>
        <v>2</v>
      </c>
      <c r="J21" s="31">
        <f t="shared" si="1"/>
        <v>3</v>
      </c>
      <c r="K21" s="31">
        <f t="shared" si="1"/>
        <v>4</v>
      </c>
      <c r="L21" s="31">
        <f t="shared" si="1"/>
        <v>5</v>
      </c>
      <c r="M21" s="31">
        <f t="shared" si="1"/>
        <v>6</v>
      </c>
      <c r="N21" s="31">
        <f t="shared" si="1"/>
        <v>7</v>
      </c>
      <c r="O21" s="31" t="str">
        <f t="shared" si="1"/>
        <v/>
      </c>
      <c r="P21" s="31" t="str">
        <f t="shared" si="1"/>
        <v/>
      </c>
      <c r="Q21" s="31" t="str">
        <f t="shared" si="1"/>
        <v/>
      </c>
      <c r="R21" s="31" t="str">
        <f t="shared" si="1"/>
        <v/>
      </c>
      <c r="S21" s="31" t="str">
        <f t="shared" si="1"/>
        <v/>
      </c>
      <c r="T21" s="31" t="str">
        <f t="shared" si="1"/>
        <v/>
      </c>
      <c r="U21" s="31" t="str">
        <f t="shared" si="1"/>
        <v/>
      </c>
      <c r="V21" s="31" t="str">
        <f t="shared" si="1"/>
        <v/>
      </c>
      <c r="W21" s="31" t="str">
        <f t="shared" si="1"/>
        <v/>
      </c>
      <c r="X21" s="31" t="str">
        <f t="shared" si="1"/>
        <v/>
      </c>
      <c r="Y21" s="31" t="str">
        <f t="shared" si="1"/>
        <v/>
      </c>
      <c r="Z21" s="31" t="str">
        <f t="shared" si="1"/>
        <v/>
      </c>
      <c r="AA21" s="31" t="str">
        <f t="shared" si="1"/>
        <v/>
      </c>
      <c r="AB21" s="31" t="str">
        <f t="shared" si="1"/>
        <v/>
      </c>
      <c r="AC21" s="31" t="str">
        <f t="shared" si="1"/>
        <v/>
      </c>
      <c r="AD21" s="31" t="str">
        <f t="shared" si="1"/>
        <v/>
      </c>
      <c r="AE21" s="31" t="str">
        <f t="shared" si="1"/>
        <v/>
      </c>
      <c r="AF21" s="31" t="str">
        <f t="shared" si="1"/>
        <v/>
      </c>
    </row>
    <row r="22" ht="12.75" customHeight="1">
      <c r="B22" s="47" t="s">
        <v>109</v>
      </c>
      <c r="C22" s="48" t="s">
        <v>123</v>
      </c>
      <c r="D22" s="49" t="s">
        <v>111</v>
      </c>
      <c r="E22" s="36" t="s">
        <v>25</v>
      </c>
      <c r="F22" s="36" t="s">
        <v>26</v>
      </c>
      <c r="G22" s="47">
        <v>10.0</v>
      </c>
      <c r="H22" s="1">
        <f t="shared" ref="H22:H66" si="3">IF(OR(H$21="",$G22=""),"",G22)</f>
        <v>10</v>
      </c>
      <c r="I22" s="27">
        <v>9.0</v>
      </c>
      <c r="J22" s="27">
        <v>8.0</v>
      </c>
      <c r="K22" s="27">
        <v>6.0</v>
      </c>
      <c r="L22" s="27">
        <v>5.0</v>
      </c>
      <c r="M22" s="27">
        <v>4.0</v>
      </c>
      <c r="N22" s="27">
        <v>3.0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 t="str">
        <f t="shared" ref="AE22:AF22" si="2">IF(OR(AE$21="",$G22=""),"",AD22)</f>
        <v/>
      </c>
      <c r="AF22" s="1" t="str">
        <f t="shared" si="2"/>
        <v/>
      </c>
    </row>
    <row r="23" ht="12.75" customHeight="1">
      <c r="B23" s="47" t="s">
        <v>112</v>
      </c>
      <c r="C23" s="48" t="s">
        <v>124</v>
      </c>
      <c r="D23" s="49" t="s">
        <v>111</v>
      </c>
      <c r="E23" s="36" t="s">
        <v>31</v>
      </c>
      <c r="F23" s="36" t="s">
        <v>26</v>
      </c>
      <c r="G23" s="47">
        <v>8.0</v>
      </c>
      <c r="H23" s="1">
        <f t="shared" si="3"/>
        <v>8</v>
      </c>
      <c r="I23" s="27">
        <v>7.0</v>
      </c>
      <c r="J23" s="27">
        <v>5.0</v>
      </c>
      <c r="K23" s="27">
        <v>6.0</v>
      </c>
      <c r="L23" s="27">
        <v>4.0</v>
      </c>
      <c r="M23" s="27">
        <v>4.0</v>
      </c>
      <c r="N23" s="27">
        <v>3.0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 t="str">
        <f t="shared" ref="AE23:AF23" si="4">IF(OR(AE$21="",$G23=""),"",AD23)</f>
        <v/>
      </c>
      <c r="AF23" s="1" t="str">
        <f t="shared" si="4"/>
        <v/>
      </c>
    </row>
    <row r="24" ht="12.75" customHeight="1">
      <c r="B24" s="47" t="s">
        <v>125</v>
      </c>
      <c r="C24" s="48" t="s">
        <v>126</v>
      </c>
      <c r="D24" s="49" t="s">
        <v>111</v>
      </c>
      <c r="E24" s="36" t="s">
        <v>36</v>
      </c>
      <c r="F24" s="36" t="s">
        <v>26</v>
      </c>
      <c r="G24" s="47">
        <v>6.0</v>
      </c>
      <c r="H24" s="1">
        <f t="shared" si="3"/>
        <v>6</v>
      </c>
      <c r="I24" s="27">
        <v>5.0</v>
      </c>
      <c r="J24" s="27">
        <v>5.0</v>
      </c>
      <c r="K24" s="27">
        <v>4.0</v>
      </c>
      <c r="L24" s="27">
        <v>4.0</v>
      </c>
      <c r="M24" s="27">
        <v>3.0</v>
      </c>
      <c r="N24" s="27">
        <v>3.0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 t="str">
        <f t="shared" ref="AE24:AF24" si="5">IF(OR(AE$21="",$G24=""),"",AD24)</f>
        <v/>
      </c>
      <c r="AF24" s="1" t="str">
        <f t="shared" si="5"/>
        <v/>
      </c>
    </row>
    <row r="25" ht="12.75" customHeight="1">
      <c r="B25" s="45" t="s">
        <v>114</v>
      </c>
      <c r="C25" s="46" t="s">
        <v>115</v>
      </c>
      <c r="D25" s="34" t="s">
        <v>116</v>
      </c>
      <c r="E25" s="35" t="s">
        <v>42</v>
      </c>
      <c r="F25" s="36" t="s">
        <v>26</v>
      </c>
      <c r="G25" s="47">
        <v>6.0</v>
      </c>
      <c r="H25" s="1">
        <f t="shared" si="3"/>
        <v>6</v>
      </c>
      <c r="I25" s="27">
        <v>5.0</v>
      </c>
      <c r="J25" s="27">
        <v>5.0</v>
      </c>
      <c r="K25" s="27">
        <v>4.0</v>
      </c>
      <c r="L25" s="27">
        <v>4.0</v>
      </c>
      <c r="M25" s="27">
        <v>3.0</v>
      </c>
      <c r="N25" s="27">
        <v>3.0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 t="str">
        <f t="shared" ref="AE25:AF25" si="6">IF(OR(AE$21="",$G25=""),"",AD25)</f>
        <v/>
      </c>
      <c r="AF25" s="1" t="str">
        <f t="shared" si="6"/>
        <v/>
      </c>
    </row>
    <row r="26" ht="12.75" customHeight="1">
      <c r="B26" s="45" t="s">
        <v>117</v>
      </c>
      <c r="C26" s="46" t="s">
        <v>118</v>
      </c>
      <c r="D26" s="34" t="s">
        <v>116</v>
      </c>
      <c r="E26" s="35" t="s">
        <v>47</v>
      </c>
      <c r="F26" s="36" t="s">
        <v>26</v>
      </c>
      <c r="G26" s="47">
        <v>6.0</v>
      </c>
      <c r="H26" s="1">
        <f t="shared" si="3"/>
        <v>6</v>
      </c>
      <c r="I26" s="27">
        <v>5.0</v>
      </c>
      <c r="J26" s="27">
        <v>5.0</v>
      </c>
      <c r="K26" s="27">
        <v>4.0</v>
      </c>
      <c r="L26" s="27">
        <v>4.0</v>
      </c>
      <c r="M26" s="27">
        <v>3.0</v>
      </c>
      <c r="N26" s="27">
        <v>3.0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 t="str">
        <f t="shared" ref="AE26:AF26" si="7">IF(OR(AE$21="",$G26=""),"",AD26)</f>
        <v/>
      </c>
      <c r="AF26" s="1" t="str">
        <f t="shared" si="7"/>
        <v/>
      </c>
    </row>
    <row r="27" ht="12.75" customHeight="1">
      <c r="B27" s="45" t="s">
        <v>119</v>
      </c>
      <c r="C27" s="46" t="s">
        <v>120</v>
      </c>
      <c r="D27" s="34" t="s">
        <v>116</v>
      </c>
      <c r="E27" s="35" t="s">
        <v>25</v>
      </c>
      <c r="F27" s="36" t="s">
        <v>26</v>
      </c>
      <c r="G27" s="47">
        <v>6.0</v>
      </c>
      <c r="H27" s="1">
        <f t="shared" si="3"/>
        <v>6</v>
      </c>
      <c r="I27" s="27">
        <v>5.0</v>
      </c>
      <c r="J27" s="27">
        <v>5.0</v>
      </c>
      <c r="K27" s="27">
        <v>4.0</v>
      </c>
      <c r="L27" s="27">
        <v>4.0</v>
      </c>
      <c r="M27" s="27">
        <v>3.0</v>
      </c>
      <c r="N27" s="27">
        <v>3.0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 t="str">
        <f t="shared" ref="AE27:AF27" si="8">IF(OR(AE$21="",$G27=""),"",AD27)</f>
        <v/>
      </c>
      <c r="AF27" s="1" t="str">
        <f t="shared" si="8"/>
        <v/>
      </c>
    </row>
    <row r="28" ht="12.75" customHeight="1">
      <c r="B28" s="42" t="s">
        <v>121</v>
      </c>
      <c r="C28" s="42" t="s">
        <v>122</v>
      </c>
      <c r="D28" s="43" t="s">
        <v>116</v>
      </c>
      <c r="E28" s="43" t="s">
        <v>31</v>
      </c>
      <c r="F28" s="36" t="s">
        <v>26</v>
      </c>
      <c r="G28" s="47">
        <v>6.0</v>
      </c>
      <c r="H28" s="1">
        <f t="shared" si="3"/>
        <v>6</v>
      </c>
      <c r="I28" s="27">
        <v>5.0</v>
      </c>
      <c r="J28" s="27">
        <v>5.0</v>
      </c>
      <c r="K28" s="27">
        <v>4.0</v>
      </c>
      <c r="L28" s="27">
        <v>4.0</v>
      </c>
      <c r="M28" s="27">
        <v>3.0</v>
      </c>
      <c r="N28" s="27">
        <v>3.0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 t="str">
        <f t="shared" ref="AE28:AF28" si="9">IF(OR(AE$21="",$G28=""),"",AD28)</f>
        <v/>
      </c>
      <c r="AF28" s="1" t="str">
        <f t="shared" si="9"/>
        <v/>
      </c>
    </row>
    <row r="29" ht="12.75" customHeight="1">
      <c r="D29" s="1"/>
      <c r="E29" s="1"/>
      <c r="F29" s="25" t="str">
        <f t="shared" ref="F29:F67" si="11">IF(C29&lt;&gt;"","Planned","")</f>
        <v/>
      </c>
      <c r="G29" s="1"/>
      <c r="H29" s="1" t="str">
        <f t="shared" si="3"/>
        <v/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 t="str">
        <f t="shared" ref="AE29:AF29" si="10">IF(OR(AE$21="",$G29=""),"",AD29)</f>
        <v/>
      </c>
      <c r="AF29" s="1" t="str">
        <f t="shared" si="10"/>
        <v/>
      </c>
    </row>
    <row r="30" ht="12.75" customHeight="1">
      <c r="D30" s="1"/>
      <c r="E30" s="1"/>
      <c r="F30" s="25" t="str">
        <f t="shared" si="11"/>
        <v/>
      </c>
      <c r="G30" s="1"/>
      <c r="H30" s="1" t="str">
        <f t="shared" si="3"/>
        <v/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 t="str">
        <f t="shared" ref="AE30:AF30" si="12">IF(OR(AE$21="",$G30=""),"",AD30)</f>
        <v/>
      </c>
      <c r="AF30" s="1" t="str">
        <f t="shared" si="12"/>
        <v/>
      </c>
    </row>
    <row r="31" ht="12.75" customHeight="1">
      <c r="D31" s="1"/>
      <c r="F31" s="25" t="str">
        <f t="shared" si="11"/>
        <v/>
      </c>
      <c r="G31" s="1"/>
      <c r="H31" s="1" t="str">
        <f t="shared" si="3"/>
        <v/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 t="str">
        <f t="shared" ref="AE31:AF31" si="13">IF(OR(AE$21="",$G31=""),"",AD31)</f>
        <v/>
      </c>
      <c r="AF31" s="1" t="str">
        <f t="shared" si="13"/>
        <v/>
      </c>
    </row>
    <row r="32" ht="12.75" customHeight="1">
      <c r="D32" s="1"/>
      <c r="F32" s="25" t="str">
        <f t="shared" si="11"/>
        <v/>
      </c>
      <c r="G32" s="1"/>
      <c r="H32" s="1" t="str">
        <f t="shared" si="3"/>
        <v/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 t="str">
        <f t="shared" ref="AE32:AF32" si="14">IF(OR(AE$21="",$G32=""),"",AD32)</f>
        <v/>
      </c>
      <c r="AF32" s="1" t="str">
        <f t="shared" si="14"/>
        <v/>
      </c>
    </row>
    <row r="33" ht="12.75" customHeight="1">
      <c r="D33" s="1"/>
      <c r="F33" s="25" t="str">
        <f t="shared" si="11"/>
        <v/>
      </c>
      <c r="G33" s="1"/>
      <c r="H33" s="1" t="str">
        <f t="shared" si="3"/>
        <v/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 t="str">
        <f t="shared" ref="AE33:AF33" si="15">IF(OR(AE$21="",$G33=""),"",AD33)</f>
        <v/>
      </c>
      <c r="AF33" s="1" t="str">
        <f t="shared" si="15"/>
        <v/>
      </c>
    </row>
    <row r="34" ht="12.75" customHeight="1">
      <c r="D34" s="1"/>
      <c r="F34" s="25" t="str">
        <f t="shared" si="11"/>
        <v/>
      </c>
      <c r="G34" s="1"/>
      <c r="H34" s="1" t="str">
        <f t="shared" si="3"/>
        <v/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 t="str">
        <f t="shared" ref="AE34:AF34" si="16">IF(OR(AE$21="",$G34=""),"",AD34)</f>
        <v/>
      </c>
      <c r="AF34" s="1" t="str">
        <f t="shared" si="16"/>
        <v/>
      </c>
    </row>
    <row r="35" ht="12.75" customHeight="1">
      <c r="D35" s="1"/>
      <c r="F35" s="25" t="str">
        <f t="shared" si="11"/>
        <v/>
      </c>
      <c r="G35" s="1"/>
      <c r="H35" s="1" t="str">
        <f t="shared" si="3"/>
        <v/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 t="str">
        <f t="shared" ref="AE35:AF35" si="17">IF(OR(AE$21="",$G35=""),"",AD35)</f>
        <v/>
      </c>
      <c r="AF35" s="1" t="str">
        <f t="shared" si="17"/>
        <v/>
      </c>
    </row>
    <row r="36" ht="12.75" customHeight="1">
      <c r="D36" s="1"/>
      <c r="F36" s="25" t="str">
        <f t="shared" si="11"/>
        <v/>
      </c>
      <c r="G36" s="1"/>
      <c r="H36" s="1" t="str">
        <f t="shared" si="3"/>
        <v/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 t="str">
        <f t="shared" ref="AE36:AF36" si="18">IF(OR(AE$21="",$G36=""),"",AD36)</f>
        <v/>
      </c>
      <c r="AF36" s="1" t="str">
        <f t="shared" si="18"/>
        <v/>
      </c>
    </row>
    <row r="37" ht="12.75" customHeight="1">
      <c r="D37" s="1"/>
      <c r="F37" s="25" t="str">
        <f t="shared" si="11"/>
        <v/>
      </c>
      <c r="G37" s="1"/>
      <c r="H37" s="1" t="str">
        <f t="shared" si="3"/>
        <v/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 t="str">
        <f t="shared" ref="AE37:AF37" si="19">IF(OR(AE$21="",$G37=""),"",AD37)</f>
        <v/>
      </c>
      <c r="AF37" s="1" t="str">
        <f t="shared" si="19"/>
        <v/>
      </c>
    </row>
    <row r="38" ht="12.75" customHeight="1">
      <c r="D38" s="1"/>
      <c r="F38" s="25" t="str">
        <f t="shared" si="11"/>
        <v/>
      </c>
      <c r="G38" s="1"/>
      <c r="H38" s="1" t="str">
        <f t="shared" si="3"/>
        <v/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 t="str">
        <f t="shared" ref="AE38:AF38" si="20">IF(OR(AE$21="",$G38=""),"",AD38)</f>
        <v/>
      </c>
      <c r="AF38" s="1" t="str">
        <f t="shared" si="20"/>
        <v/>
      </c>
    </row>
    <row r="39" ht="12.75" customHeight="1">
      <c r="D39" s="1"/>
      <c r="F39" s="25" t="str">
        <f t="shared" si="11"/>
        <v/>
      </c>
      <c r="G39" s="1"/>
      <c r="H39" s="1" t="str">
        <f t="shared" si="3"/>
        <v/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 t="str">
        <f t="shared" ref="AE39:AF39" si="21">IF(OR(AE$21="",$G39=""),"",AD39)</f>
        <v/>
      </c>
      <c r="AF39" s="1" t="str">
        <f t="shared" si="21"/>
        <v/>
      </c>
    </row>
    <row r="40" ht="12.75" customHeight="1">
      <c r="D40" s="1"/>
      <c r="F40" s="25" t="str">
        <f t="shared" si="11"/>
        <v/>
      </c>
      <c r="G40" s="1"/>
      <c r="H40" s="1" t="str">
        <f t="shared" si="3"/>
        <v/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 t="str">
        <f t="shared" ref="AE40:AF40" si="22">IF(OR(AE$21="",$G40=""),"",AD40)</f>
        <v/>
      </c>
      <c r="AF40" s="1" t="str">
        <f t="shared" si="22"/>
        <v/>
      </c>
    </row>
    <row r="41" ht="12.75" customHeight="1">
      <c r="D41" s="1"/>
      <c r="F41" s="25" t="str">
        <f t="shared" si="11"/>
        <v/>
      </c>
      <c r="G41" s="1"/>
      <c r="H41" s="1" t="str">
        <f t="shared" si="3"/>
        <v/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 t="str">
        <f t="shared" ref="AE41:AF41" si="23">IF(OR(AE$21="",$G41=""),"",AD41)</f>
        <v/>
      </c>
      <c r="AF41" s="1" t="str">
        <f t="shared" si="23"/>
        <v/>
      </c>
    </row>
    <row r="42" ht="12.75" customHeight="1">
      <c r="D42" s="1"/>
      <c r="F42" s="25" t="str">
        <f t="shared" si="11"/>
        <v/>
      </c>
      <c r="G42" s="1"/>
      <c r="H42" s="1" t="str">
        <f t="shared" si="3"/>
        <v/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 t="str">
        <f t="shared" ref="AE42:AF42" si="24">IF(OR(AE$21="",$G42=""),"",AD42)</f>
        <v/>
      </c>
      <c r="AF42" s="1" t="str">
        <f t="shared" si="24"/>
        <v/>
      </c>
    </row>
    <row r="43" ht="12.75" customHeight="1">
      <c r="D43" s="1"/>
      <c r="F43" s="25" t="str">
        <f t="shared" si="11"/>
        <v/>
      </c>
      <c r="G43" s="1"/>
      <c r="H43" s="1" t="str">
        <f t="shared" si="3"/>
        <v/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 t="str">
        <f t="shared" ref="AE43:AF43" si="25">IF(OR(AE$21="",$G43=""),"",AD43)</f>
        <v/>
      </c>
      <c r="AF43" s="1" t="str">
        <f t="shared" si="25"/>
        <v/>
      </c>
    </row>
    <row r="44" ht="12.75" customHeight="1">
      <c r="D44" s="1"/>
      <c r="F44" s="25" t="str">
        <f t="shared" si="11"/>
        <v/>
      </c>
      <c r="G44" s="1"/>
      <c r="H44" s="1" t="str">
        <f t="shared" si="3"/>
        <v/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 t="str">
        <f t="shared" ref="AE44:AF44" si="26">IF(OR(AE$21="",$G44=""),"",AD44)</f>
        <v/>
      </c>
      <c r="AF44" s="1" t="str">
        <f t="shared" si="26"/>
        <v/>
      </c>
    </row>
    <row r="45" ht="12.75" customHeight="1">
      <c r="D45" s="1"/>
      <c r="F45" s="25" t="str">
        <f t="shared" si="11"/>
        <v/>
      </c>
      <c r="G45" s="1"/>
      <c r="H45" s="1" t="str">
        <f t="shared" si="3"/>
        <v/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 t="str">
        <f t="shared" ref="AE45:AF45" si="27">IF(OR(AE$21="",$G45=""),"",AD45)</f>
        <v/>
      </c>
      <c r="AF45" s="1" t="str">
        <f t="shared" si="27"/>
        <v/>
      </c>
    </row>
    <row r="46" ht="12.75" customHeight="1">
      <c r="D46" s="1"/>
      <c r="F46" s="25" t="str">
        <f t="shared" si="11"/>
        <v/>
      </c>
      <c r="G46" s="1"/>
      <c r="H46" s="1" t="str">
        <f t="shared" si="3"/>
        <v/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 t="str">
        <f t="shared" ref="AE46:AF46" si="28">IF(OR(AE$21="",$G46=""),"",AD46)</f>
        <v/>
      </c>
      <c r="AF46" s="1" t="str">
        <f t="shared" si="28"/>
        <v/>
      </c>
    </row>
    <row r="47" ht="12.75" customHeight="1">
      <c r="D47" s="1"/>
      <c r="F47" s="25" t="str">
        <f t="shared" si="11"/>
        <v/>
      </c>
      <c r="G47" s="1"/>
      <c r="H47" s="1" t="str">
        <f t="shared" si="3"/>
        <v/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 t="str">
        <f t="shared" ref="AE47:AF47" si="29">IF(OR(AE$21="",$G47=""),"",AD47)</f>
        <v/>
      </c>
      <c r="AF47" s="1" t="str">
        <f t="shared" si="29"/>
        <v/>
      </c>
    </row>
    <row r="48" ht="12.75" customHeight="1">
      <c r="D48" s="1"/>
      <c r="F48" s="25" t="str">
        <f t="shared" si="11"/>
        <v/>
      </c>
      <c r="G48" s="1"/>
      <c r="H48" s="1" t="str">
        <f t="shared" si="3"/>
        <v/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 t="str">
        <f t="shared" ref="AE48:AF48" si="30">IF(OR(AE$21="",$G48=""),"",AD48)</f>
        <v/>
      </c>
      <c r="AF48" s="1" t="str">
        <f t="shared" si="30"/>
        <v/>
      </c>
    </row>
    <row r="49" ht="12.75" customHeight="1">
      <c r="D49" s="1"/>
      <c r="F49" s="25" t="str">
        <f t="shared" si="11"/>
        <v/>
      </c>
      <c r="G49" s="1"/>
      <c r="H49" s="1" t="str">
        <f t="shared" si="3"/>
        <v/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 t="str">
        <f t="shared" ref="AE49:AF49" si="31">IF(OR(AE$21="",$G49=""),"",AD49)</f>
        <v/>
      </c>
      <c r="AF49" s="1" t="str">
        <f t="shared" si="31"/>
        <v/>
      </c>
    </row>
    <row r="50" ht="12.75" customHeight="1">
      <c r="D50" s="1"/>
      <c r="F50" s="25" t="str">
        <f t="shared" si="11"/>
        <v/>
      </c>
      <c r="G50" s="1"/>
      <c r="H50" s="1" t="str">
        <f t="shared" si="3"/>
        <v/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 t="str">
        <f t="shared" ref="AE50:AF50" si="32">IF(OR(AE$21="",$G50=""),"",AD50)</f>
        <v/>
      </c>
      <c r="AF50" s="1" t="str">
        <f t="shared" si="32"/>
        <v/>
      </c>
    </row>
    <row r="51" ht="12.75" customHeight="1">
      <c r="D51" s="1"/>
      <c r="F51" s="25" t="str">
        <f t="shared" si="11"/>
        <v/>
      </c>
      <c r="G51" s="1"/>
      <c r="H51" s="1" t="str">
        <f t="shared" si="3"/>
        <v/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 t="str">
        <f t="shared" ref="AE51:AF51" si="33">IF(OR(AE$21="",$G51=""),"",AD51)</f>
        <v/>
      </c>
      <c r="AF51" s="1" t="str">
        <f t="shared" si="33"/>
        <v/>
      </c>
    </row>
    <row r="52" ht="12.75" customHeight="1">
      <c r="D52" s="1"/>
      <c r="F52" s="25" t="str">
        <f t="shared" si="11"/>
        <v/>
      </c>
      <c r="G52" s="1"/>
      <c r="H52" s="1" t="str">
        <f t="shared" si="3"/>
        <v/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 t="str">
        <f t="shared" ref="AE52:AF52" si="34">IF(OR(AE$21="",$G52=""),"",AD52)</f>
        <v/>
      </c>
      <c r="AF52" s="1" t="str">
        <f t="shared" si="34"/>
        <v/>
      </c>
    </row>
    <row r="53" ht="12.75" customHeight="1">
      <c r="D53" s="1"/>
      <c r="F53" s="25" t="str">
        <f t="shared" si="11"/>
        <v/>
      </c>
      <c r="G53" s="1"/>
      <c r="H53" s="1" t="str">
        <f t="shared" si="3"/>
        <v/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 t="str">
        <f t="shared" ref="AE53:AF53" si="35">IF(OR(AE$21="",$G53=""),"",AD53)</f>
        <v/>
      </c>
      <c r="AF53" s="1" t="str">
        <f t="shared" si="35"/>
        <v/>
      </c>
    </row>
    <row r="54" ht="12.75" customHeight="1">
      <c r="D54" s="1"/>
      <c r="F54" s="25" t="str">
        <f t="shared" si="11"/>
        <v/>
      </c>
      <c r="G54" s="1"/>
      <c r="H54" s="1" t="str">
        <f t="shared" si="3"/>
        <v/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 t="str">
        <f t="shared" ref="AE54:AF54" si="36">IF(OR(AE$21="",$G54=""),"",AD54)</f>
        <v/>
      </c>
      <c r="AF54" s="1" t="str">
        <f t="shared" si="36"/>
        <v/>
      </c>
    </row>
    <row r="55" ht="12.75" customHeight="1">
      <c r="D55" s="1"/>
      <c r="F55" s="25" t="str">
        <f t="shared" si="11"/>
        <v/>
      </c>
      <c r="G55" s="1"/>
      <c r="H55" s="1" t="str">
        <f t="shared" si="3"/>
        <v/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 t="str">
        <f t="shared" ref="AE55:AF55" si="37">IF(OR(AE$21="",$G55=""),"",AD55)</f>
        <v/>
      </c>
      <c r="AF55" s="1" t="str">
        <f t="shared" si="37"/>
        <v/>
      </c>
    </row>
    <row r="56" ht="12.75" customHeight="1">
      <c r="D56" s="1"/>
      <c r="F56" s="25" t="str">
        <f t="shared" si="11"/>
        <v/>
      </c>
      <c r="G56" s="1"/>
      <c r="H56" s="1" t="str">
        <f t="shared" si="3"/>
        <v/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 t="str">
        <f t="shared" ref="AE56:AF56" si="38">IF(OR(AE$21="",$G56=""),"",AD56)</f>
        <v/>
      </c>
      <c r="AF56" s="1" t="str">
        <f t="shared" si="38"/>
        <v/>
      </c>
    </row>
    <row r="57" ht="12.75" customHeight="1">
      <c r="D57" s="1"/>
      <c r="F57" s="25" t="str">
        <f t="shared" si="11"/>
        <v/>
      </c>
      <c r="G57" s="1"/>
      <c r="H57" s="1" t="str">
        <f t="shared" si="3"/>
        <v/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 t="str">
        <f t="shared" ref="AE57:AF57" si="39">IF(OR(AE$21="",$G57=""),"",AD57)</f>
        <v/>
      </c>
      <c r="AF57" s="1" t="str">
        <f t="shared" si="39"/>
        <v/>
      </c>
    </row>
    <row r="58" ht="12.75" customHeight="1">
      <c r="D58" s="1"/>
      <c r="F58" s="25" t="str">
        <f t="shared" si="11"/>
        <v/>
      </c>
      <c r="G58" s="1"/>
      <c r="H58" s="1" t="str">
        <f t="shared" si="3"/>
        <v/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 t="str">
        <f t="shared" ref="AE58:AF58" si="40">IF(OR(AE$21="",$G58=""),"",AD58)</f>
        <v/>
      </c>
      <c r="AF58" s="1" t="str">
        <f t="shared" si="40"/>
        <v/>
      </c>
    </row>
    <row r="59" ht="12.75" customHeight="1">
      <c r="D59" s="1"/>
      <c r="F59" s="25" t="str">
        <f t="shared" si="11"/>
        <v/>
      </c>
      <c r="G59" s="1"/>
      <c r="H59" s="1" t="str">
        <f t="shared" si="3"/>
        <v/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 t="str">
        <f t="shared" ref="AE59:AF59" si="41">IF(OR(AE$21="",$G59=""),"",AD59)</f>
        <v/>
      </c>
      <c r="AF59" s="1" t="str">
        <f t="shared" si="41"/>
        <v/>
      </c>
    </row>
    <row r="60" ht="12.75" customHeight="1">
      <c r="D60" s="1"/>
      <c r="F60" s="25" t="str">
        <f t="shared" si="11"/>
        <v/>
      </c>
      <c r="G60" s="1"/>
      <c r="H60" s="1" t="str">
        <f t="shared" si="3"/>
        <v/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 t="str">
        <f t="shared" ref="AE60:AF60" si="42">IF(OR(AE$21="",$G60=""),"",AD60)</f>
        <v/>
      </c>
      <c r="AF60" s="1" t="str">
        <f t="shared" si="42"/>
        <v/>
      </c>
    </row>
    <row r="61" ht="12.75" customHeight="1">
      <c r="D61" s="1"/>
      <c r="F61" s="25" t="str">
        <f t="shared" si="11"/>
        <v/>
      </c>
      <c r="G61" s="1"/>
      <c r="H61" s="1" t="str">
        <f t="shared" si="3"/>
        <v/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 t="str">
        <f t="shared" ref="AE61:AF61" si="43">IF(OR(AE$21="",$G61=""),"",AD61)</f>
        <v/>
      </c>
      <c r="AF61" s="1" t="str">
        <f t="shared" si="43"/>
        <v/>
      </c>
    </row>
    <row r="62" ht="12.75" customHeight="1">
      <c r="D62" s="1"/>
      <c r="F62" s="25" t="str">
        <f t="shared" si="11"/>
        <v/>
      </c>
      <c r="G62" s="1"/>
      <c r="H62" s="1" t="str">
        <f t="shared" si="3"/>
        <v/>
      </c>
      <c r="I62" s="1" t="str">
        <f t="shared" ref="I62:AF62" si="44">IF(OR(I$21="",$G62=""),"",H62)</f>
        <v/>
      </c>
      <c r="J62" s="1" t="str">
        <f t="shared" si="44"/>
        <v/>
      </c>
      <c r="K62" s="1" t="str">
        <f t="shared" si="44"/>
        <v/>
      </c>
      <c r="L62" s="1" t="str">
        <f t="shared" si="44"/>
        <v/>
      </c>
      <c r="M62" s="1" t="str">
        <f t="shared" si="44"/>
        <v/>
      </c>
      <c r="N62" s="1" t="str">
        <f t="shared" si="44"/>
        <v/>
      </c>
      <c r="O62" s="1" t="str">
        <f t="shared" si="44"/>
        <v/>
      </c>
      <c r="P62" s="1" t="str">
        <f t="shared" si="44"/>
        <v/>
      </c>
      <c r="Q62" s="1" t="str">
        <f t="shared" si="44"/>
        <v/>
      </c>
      <c r="R62" s="1" t="str">
        <f t="shared" si="44"/>
        <v/>
      </c>
      <c r="S62" s="1" t="str">
        <f t="shared" si="44"/>
        <v/>
      </c>
      <c r="T62" s="1" t="str">
        <f t="shared" si="44"/>
        <v/>
      </c>
      <c r="U62" s="1" t="str">
        <f t="shared" si="44"/>
        <v/>
      </c>
      <c r="V62" s="1" t="str">
        <f t="shared" si="44"/>
        <v/>
      </c>
      <c r="W62" s="1" t="str">
        <f t="shared" si="44"/>
        <v/>
      </c>
      <c r="X62" s="1" t="str">
        <f t="shared" si="44"/>
        <v/>
      </c>
      <c r="Y62" s="1" t="str">
        <f t="shared" si="44"/>
        <v/>
      </c>
      <c r="Z62" s="1" t="str">
        <f t="shared" si="44"/>
        <v/>
      </c>
      <c r="AA62" s="1" t="str">
        <f t="shared" si="44"/>
        <v/>
      </c>
      <c r="AB62" s="1" t="str">
        <f t="shared" si="44"/>
        <v/>
      </c>
      <c r="AC62" s="1" t="str">
        <f t="shared" si="44"/>
        <v/>
      </c>
      <c r="AD62" s="1" t="str">
        <f t="shared" si="44"/>
        <v/>
      </c>
      <c r="AE62" s="1" t="str">
        <f t="shared" si="44"/>
        <v/>
      </c>
      <c r="AF62" s="1" t="str">
        <f t="shared" si="44"/>
        <v/>
      </c>
    </row>
    <row r="63" ht="12.75" customHeight="1">
      <c r="D63" s="1"/>
      <c r="F63" s="25" t="str">
        <f t="shared" si="11"/>
        <v/>
      </c>
      <c r="G63" s="1"/>
      <c r="H63" s="1" t="str">
        <f t="shared" si="3"/>
        <v/>
      </c>
      <c r="I63" s="1" t="str">
        <f t="shared" ref="I63:AF63" si="45">IF(OR(I$21="",$G63=""),"",H63)</f>
        <v/>
      </c>
      <c r="J63" s="1" t="str">
        <f t="shared" si="45"/>
        <v/>
      </c>
      <c r="K63" s="1" t="str">
        <f t="shared" si="45"/>
        <v/>
      </c>
      <c r="L63" s="1" t="str">
        <f t="shared" si="45"/>
        <v/>
      </c>
      <c r="M63" s="1" t="str">
        <f t="shared" si="45"/>
        <v/>
      </c>
      <c r="N63" s="1" t="str">
        <f t="shared" si="45"/>
        <v/>
      </c>
      <c r="O63" s="1" t="str">
        <f t="shared" si="45"/>
        <v/>
      </c>
      <c r="P63" s="1" t="str">
        <f t="shared" si="45"/>
        <v/>
      </c>
      <c r="Q63" s="1" t="str">
        <f t="shared" si="45"/>
        <v/>
      </c>
      <c r="R63" s="1" t="str">
        <f t="shared" si="45"/>
        <v/>
      </c>
      <c r="S63" s="1" t="str">
        <f t="shared" si="45"/>
        <v/>
      </c>
      <c r="T63" s="1" t="str">
        <f t="shared" si="45"/>
        <v/>
      </c>
      <c r="U63" s="1" t="str">
        <f t="shared" si="45"/>
        <v/>
      </c>
      <c r="V63" s="1" t="str">
        <f t="shared" si="45"/>
        <v/>
      </c>
      <c r="W63" s="1" t="str">
        <f t="shared" si="45"/>
        <v/>
      </c>
      <c r="X63" s="1" t="str">
        <f t="shared" si="45"/>
        <v/>
      </c>
      <c r="Y63" s="1" t="str">
        <f t="shared" si="45"/>
        <v/>
      </c>
      <c r="Z63" s="1" t="str">
        <f t="shared" si="45"/>
        <v/>
      </c>
      <c r="AA63" s="1" t="str">
        <f t="shared" si="45"/>
        <v/>
      </c>
      <c r="AB63" s="1" t="str">
        <f t="shared" si="45"/>
        <v/>
      </c>
      <c r="AC63" s="1" t="str">
        <f t="shared" si="45"/>
        <v/>
      </c>
      <c r="AD63" s="1" t="str">
        <f t="shared" si="45"/>
        <v/>
      </c>
      <c r="AE63" s="1" t="str">
        <f t="shared" si="45"/>
        <v/>
      </c>
      <c r="AF63" s="1" t="str">
        <f t="shared" si="45"/>
        <v/>
      </c>
    </row>
    <row r="64" ht="12.75" customHeight="1">
      <c r="D64" s="1"/>
      <c r="F64" s="25" t="str">
        <f t="shared" si="11"/>
        <v/>
      </c>
      <c r="G64" s="1"/>
      <c r="H64" s="1" t="str">
        <f t="shared" si="3"/>
        <v/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 t="str">
        <f t="shared" ref="AE64:AF64" si="46">IF(OR(AE$21="",$G64=""),"",AD64)</f>
        <v/>
      </c>
      <c r="AF64" s="1" t="str">
        <f t="shared" si="46"/>
        <v/>
      </c>
    </row>
    <row r="65" ht="12.75" customHeight="1">
      <c r="D65" s="1"/>
      <c r="F65" s="25" t="str">
        <f t="shared" si="11"/>
        <v/>
      </c>
      <c r="G65" s="1"/>
      <c r="H65" s="1" t="str">
        <f t="shared" si="3"/>
        <v/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 t="str">
        <f t="shared" ref="AE65:AF65" si="47">IF(OR(AE$21="",$G65=""),"",AD65)</f>
        <v/>
      </c>
      <c r="AF65" s="1" t="str">
        <f t="shared" si="47"/>
        <v/>
      </c>
    </row>
    <row r="66" ht="12.75" customHeight="1">
      <c r="D66" s="1"/>
      <c r="F66" s="25" t="str">
        <f t="shared" si="11"/>
        <v/>
      </c>
      <c r="G66" s="1"/>
      <c r="H66" s="1" t="str">
        <f t="shared" si="3"/>
        <v/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ht="12.75" customHeight="1">
      <c r="D67" s="1"/>
      <c r="F67" s="25" t="str">
        <f t="shared" si="11"/>
        <v/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ht="12.75" customHeight="1">
      <c r="D68" s="1"/>
      <c r="F68" s="25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ht="12.75" customHeight="1">
      <c r="D69" s="1"/>
      <c r="F69" s="25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ht="12.75" customHeight="1">
      <c r="D70" s="1"/>
      <c r="F70" s="25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ht="12.75" customHeight="1">
      <c r="A71" s="1"/>
      <c r="D71" s="1"/>
      <c r="F71" s="25" t="str">
        <f>IF(C71&lt;&gt;"","Planned","")</f>
        <v/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ht="12.75" customHeight="1">
      <c r="D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ht="12.75" customHeight="1">
      <c r="D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ht="12.75" customHeight="1">
      <c r="D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ht="12.75" customHeight="1">
      <c r="D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ht="12.75" customHeight="1">
      <c r="D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ht="12.75" customHeight="1">
      <c r="D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ht="12.75" customHeight="1">
      <c r="D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ht="12.75" customHeight="1">
      <c r="D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ht="12.75" customHeight="1">
      <c r="D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ht="12.75" customHeight="1">
      <c r="D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ht="12.75" customHeight="1">
      <c r="D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ht="12.75" customHeight="1">
      <c r="D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ht="12.75" customHeight="1">
      <c r="D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ht="12.75" customHeight="1">
      <c r="D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ht="12.75" customHeight="1">
      <c r="D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ht="12.75" customHeight="1">
      <c r="D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ht="12.75" customHeight="1">
      <c r="D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ht="12.75" customHeight="1">
      <c r="D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ht="12.75" customHeight="1">
      <c r="D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ht="12.75" customHeight="1">
      <c r="D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ht="12.75" customHeight="1">
      <c r="D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ht="12.75" customHeight="1">
      <c r="D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ht="12.75" customHeight="1">
      <c r="D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ht="12.75" customHeight="1">
      <c r="D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ht="12.75" customHeight="1">
      <c r="D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ht="12.75" customHeight="1">
      <c r="D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ht="12.75" customHeight="1">
      <c r="D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ht="12.75" customHeight="1">
      <c r="D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ht="12.75" customHeight="1">
      <c r="D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ht="12.75" customHeight="1">
      <c r="D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ht="12.75" customHeight="1">
      <c r="D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ht="12.75" customHeight="1">
      <c r="D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ht="12.75" customHeight="1">
      <c r="D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ht="12.75" customHeight="1">
      <c r="D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ht="12.75" customHeight="1">
      <c r="D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ht="12.75" customHeight="1">
      <c r="D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ht="12.75" customHeight="1">
      <c r="D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ht="12.75" customHeight="1">
      <c r="D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ht="12.75" customHeight="1">
      <c r="D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ht="12.75" customHeight="1">
      <c r="D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ht="12.75" customHeight="1">
      <c r="D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ht="12.75" customHeight="1">
      <c r="D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ht="12.75" customHeight="1">
      <c r="D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ht="12.75" customHeight="1">
      <c r="D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ht="12.75" customHeight="1">
      <c r="D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ht="12.75" customHeight="1">
      <c r="D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ht="12.75" customHeight="1">
      <c r="D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ht="12.75" customHeight="1">
      <c r="D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ht="12.75" customHeight="1">
      <c r="D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ht="12.75" customHeight="1">
      <c r="D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ht="12.75" customHeight="1">
      <c r="D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ht="12.75" customHeight="1">
      <c r="D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 ht="12.75" customHeight="1">
      <c r="D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 ht="12.75" customHeight="1">
      <c r="D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 ht="12.75" customHeight="1">
      <c r="D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 ht="12.75" customHeight="1">
      <c r="D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ht="12.75" customHeight="1">
      <c r="D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ht="12.75" customHeight="1">
      <c r="D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 ht="12.75" customHeight="1">
      <c r="D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ht="12.75" customHeight="1">
      <c r="D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ht="12.75" customHeight="1">
      <c r="D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 ht="12.75" customHeight="1">
      <c r="D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ht="12.75" customHeight="1">
      <c r="D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 ht="12.75" customHeight="1">
      <c r="D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 ht="12.75" customHeight="1">
      <c r="D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ht="12.75" customHeight="1">
      <c r="D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ht="12.75" customHeight="1">
      <c r="D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 ht="12.75" customHeight="1">
      <c r="D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ht="12.75" customHeight="1">
      <c r="D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ht="12.75" customHeight="1">
      <c r="D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ht="12.75" customHeight="1">
      <c r="D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 ht="12.75" customHeight="1">
      <c r="D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ht="12.75" customHeight="1">
      <c r="D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ht="12.75" customHeight="1">
      <c r="D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 ht="12.75" customHeight="1">
      <c r="D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ht="12.75" customHeight="1">
      <c r="D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ht="12.75" customHeight="1">
      <c r="D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ht="12.75" customHeight="1">
      <c r="D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ht="12.75" customHeight="1">
      <c r="D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ht="12.75" customHeight="1">
      <c r="D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ht="12.75" customHeight="1">
      <c r="D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ht="12.75" customHeight="1">
      <c r="D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ht="12.75" customHeight="1">
      <c r="D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ht="12.75" customHeight="1">
      <c r="D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ht="12.75" customHeight="1">
      <c r="D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ht="12.75" customHeight="1">
      <c r="D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ht="12.75" customHeight="1">
      <c r="D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ht="12.75" customHeight="1">
      <c r="D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ht="12.75" customHeight="1">
      <c r="D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ht="12.75" customHeight="1">
      <c r="D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ht="12.75" customHeight="1">
      <c r="D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ht="12.75" customHeight="1">
      <c r="D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ht="12.75" customHeight="1">
      <c r="D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ht="12.75" customHeight="1">
      <c r="D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ht="12.75" customHeight="1">
      <c r="D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ht="12.75" customHeight="1">
      <c r="D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ht="12.75" customHeight="1">
      <c r="D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ht="12.75" customHeight="1">
      <c r="D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ht="12.75" customHeight="1">
      <c r="D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ht="12.75" customHeight="1">
      <c r="D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ht="12.75" customHeight="1">
      <c r="D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ht="12.75" customHeight="1">
      <c r="D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ht="12.75" customHeight="1">
      <c r="D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ht="12.75" customHeight="1">
      <c r="D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ht="12.75" customHeight="1">
      <c r="D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ht="12.75" customHeight="1">
      <c r="D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ht="12.75" customHeight="1">
      <c r="D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ht="12.75" customHeight="1">
      <c r="D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ht="12.75" customHeight="1">
      <c r="D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ht="12.75" customHeight="1">
      <c r="D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ht="12.75" customHeight="1">
      <c r="D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ht="12.75" customHeight="1">
      <c r="D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ht="12.75" customHeight="1">
      <c r="D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ht="12.75" customHeight="1">
      <c r="D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ht="12.75" customHeight="1">
      <c r="D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ht="12.75" customHeight="1">
      <c r="D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ht="12.75" customHeight="1">
      <c r="D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ht="12.75" customHeight="1">
      <c r="D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ht="12.75" customHeight="1">
      <c r="D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ht="12.75" customHeight="1">
      <c r="D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ht="12.75" customHeight="1">
      <c r="D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ht="12.75" customHeight="1">
      <c r="D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ht="12.75" customHeight="1">
      <c r="D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ht="12.75" customHeight="1">
      <c r="D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ht="12.75" customHeight="1">
      <c r="D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ht="12.75" customHeight="1">
      <c r="D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ht="12.75" customHeight="1">
      <c r="D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ht="12.75" customHeight="1">
      <c r="D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ht="12.75" customHeight="1">
      <c r="D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ht="12.75" customHeight="1">
      <c r="D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ht="12.75" customHeight="1">
      <c r="D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ht="12.75" customHeight="1">
      <c r="D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ht="12.75" customHeight="1">
      <c r="D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ht="12.75" customHeight="1">
      <c r="D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ht="12.75" customHeight="1">
      <c r="D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ht="12.75" customHeight="1">
      <c r="D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ht="12.75" customHeight="1">
      <c r="D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ht="12.75" customHeight="1">
      <c r="D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ht="12.75" customHeight="1">
      <c r="D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ht="12.75" customHeight="1">
      <c r="D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ht="12.75" customHeight="1">
      <c r="D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ht="12.75" customHeight="1">
      <c r="D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ht="12.75" customHeight="1">
      <c r="D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 ht="12.75" customHeight="1">
      <c r="D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ht="12.75" customHeight="1">
      <c r="D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ht="12.75" customHeight="1">
      <c r="D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ht="12.75" customHeight="1">
      <c r="D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ht="12.75" customHeight="1">
      <c r="D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ht="12.75" customHeight="1">
      <c r="D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ht="12.75" customHeight="1">
      <c r="D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 ht="12.75" customHeight="1">
      <c r="D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ht="12.75" customHeight="1">
      <c r="D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ht="12.75" customHeight="1">
      <c r="D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ht="12.75" customHeight="1">
      <c r="D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ht="12.75" customHeight="1">
      <c r="D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ht="12.75" customHeight="1">
      <c r="D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ht="12.75" customHeight="1">
      <c r="D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ht="12.75" customHeight="1">
      <c r="D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ht="12.75" customHeight="1">
      <c r="D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ht="12.75" customHeight="1">
      <c r="D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ht="12.75" customHeight="1">
      <c r="D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ht="12.75" customHeight="1">
      <c r="D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ht="12.75" customHeight="1">
      <c r="D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ht="12.75" customHeight="1">
      <c r="D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ht="12.75" customHeight="1">
      <c r="D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ht="12.75" customHeight="1">
      <c r="D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ht="12.75" customHeight="1">
      <c r="D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ht="12.75" customHeight="1">
      <c r="D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ht="12.75" customHeight="1">
      <c r="D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ht="12.75" customHeight="1">
      <c r="D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ht="12.75" customHeight="1">
      <c r="D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ht="12.75" customHeight="1">
      <c r="D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ht="12.75" customHeight="1">
      <c r="D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ht="12.75" customHeight="1">
      <c r="D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 ht="12.75" customHeight="1">
      <c r="D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 ht="12.75" customHeight="1">
      <c r="D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ht="12.75" customHeight="1">
      <c r="D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ht="12.75" customHeight="1">
      <c r="D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ht="12.75" customHeight="1">
      <c r="D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ht="12.75" customHeight="1">
      <c r="D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ht="12.75" customHeight="1">
      <c r="D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 ht="12.75" customHeight="1">
      <c r="D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 ht="12.75" customHeight="1">
      <c r="D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 ht="12.75" customHeight="1">
      <c r="D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 ht="12.75" customHeight="1">
      <c r="D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 ht="12.75" customHeight="1">
      <c r="D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 ht="12.75" customHeight="1">
      <c r="D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 ht="12.75" customHeight="1">
      <c r="D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 ht="12.75" customHeight="1">
      <c r="D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 ht="12.75" customHeight="1">
      <c r="D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 ht="12.75" customHeight="1">
      <c r="D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 ht="12.75" customHeight="1">
      <c r="D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 ht="12.75" customHeight="1">
      <c r="D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 ht="12.75" customHeight="1">
      <c r="D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 ht="12.75" customHeight="1">
      <c r="D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 ht="12.75" customHeight="1">
      <c r="D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 ht="12.75" customHeight="1">
      <c r="D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 ht="12.75" customHeight="1">
      <c r="D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 ht="12.75" customHeight="1">
      <c r="D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 ht="12.75" customHeight="1">
      <c r="D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 ht="12.75" customHeight="1">
      <c r="D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 ht="12.75" customHeight="1">
      <c r="D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 ht="12.75" customHeight="1">
      <c r="D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 ht="12.75" customHeight="1">
      <c r="D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 ht="12.75" customHeight="1">
      <c r="D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 ht="12.75" customHeight="1">
      <c r="D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 ht="12.75" customHeight="1">
      <c r="D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 ht="12.75" customHeight="1">
      <c r="D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 ht="12.75" customHeight="1">
      <c r="D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 ht="12.75" customHeight="1">
      <c r="D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 ht="12.75" customHeight="1">
      <c r="D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 ht="12.75" customHeight="1">
      <c r="D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 ht="12.75" customHeight="1">
      <c r="D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 ht="12.75" customHeight="1">
      <c r="D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 ht="12.75" customHeight="1">
      <c r="D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 ht="12.75" customHeight="1">
      <c r="D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 ht="12.75" customHeight="1">
      <c r="D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 ht="12.75" customHeight="1">
      <c r="D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 ht="12.75" customHeight="1">
      <c r="D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 ht="12.75" customHeight="1">
      <c r="D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 ht="12.75" customHeight="1">
      <c r="D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 ht="12.75" customHeight="1">
      <c r="D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 ht="12.75" customHeight="1">
      <c r="D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 ht="12.75" customHeight="1">
      <c r="D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 ht="12.75" customHeight="1">
      <c r="D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 ht="12.75" customHeight="1">
      <c r="D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 ht="12.75" customHeight="1">
      <c r="D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 ht="12.75" customHeight="1">
      <c r="D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 ht="12.75" customHeight="1">
      <c r="D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 ht="12.75" customHeight="1">
      <c r="D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 ht="12.75" customHeight="1">
      <c r="D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 ht="12.75" customHeight="1">
      <c r="D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 ht="12.75" customHeight="1">
      <c r="D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 ht="12.75" customHeight="1">
      <c r="D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 ht="12.75" customHeight="1">
      <c r="D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 ht="12.75" customHeight="1">
      <c r="D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 ht="12.75" customHeight="1">
      <c r="D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 ht="12.75" customHeight="1">
      <c r="D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 ht="12.75" customHeight="1">
      <c r="D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 ht="12.75" customHeight="1">
      <c r="D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 ht="12.75" customHeight="1">
      <c r="D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 ht="12.75" customHeight="1">
      <c r="D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 ht="12.75" customHeight="1">
      <c r="D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 ht="12.75" customHeight="1">
      <c r="D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 ht="12.75" customHeight="1">
      <c r="D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 ht="12.75" customHeight="1">
      <c r="D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 ht="12.75" customHeight="1">
      <c r="D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 ht="12.75" customHeight="1">
      <c r="D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 ht="12.75" customHeight="1">
      <c r="D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 ht="12.75" customHeight="1">
      <c r="D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 ht="12.75" customHeight="1">
      <c r="D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 ht="12.75" customHeight="1">
      <c r="D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 ht="12.75" customHeight="1">
      <c r="D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 ht="12.75" customHeight="1">
      <c r="D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 ht="12.75" customHeight="1">
      <c r="D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 ht="12.75" customHeight="1">
      <c r="D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 ht="12.75" customHeight="1">
      <c r="D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 ht="12.75" customHeight="1">
      <c r="D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 ht="12.75" customHeight="1">
      <c r="D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 ht="12.75" customHeight="1">
      <c r="D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 ht="12.75" customHeight="1">
      <c r="D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 ht="12.75" customHeight="1">
      <c r="D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 ht="12.75" customHeight="1">
      <c r="D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 ht="12.75" customHeight="1">
      <c r="D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 ht="12.75" customHeight="1">
      <c r="D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 ht="12.75" customHeight="1">
      <c r="D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 ht="12.75" customHeight="1">
      <c r="D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 ht="12.75" customHeight="1">
      <c r="D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 ht="12.75" customHeight="1">
      <c r="D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 ht="12.75" customHeight="1">
      <c r="D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 ht="12.75" customHeight="1">
      <c r="D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 ht="12.75" customHeight="1">
      <c r="D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 ht="12.75" customHeight="1">
      <c r="D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 ht="12.75" customHeight="1">
      <c r="D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 ht="12.75" customHeight="1">
      <c r="D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 ht="12.75" customHeight="1">
      <c r="D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 ht="12.75" customHeight="1">
      <c r="D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 ht="12.75" customHeight="1">
      <c r="D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 ht="12.75" customHeight="1">
      <c r="D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 ht="12.75" customHeight="1">
      <c r="D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 ht="12.75" customHeight="1">
      <c r="D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 ht="12.75" customHeight="1">
      <c r="D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 ht="12.75" customHeight="1">
      <c r="D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 ht="12.75" customHeight="1">
      <c r="D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 ht="12.75" customHeight="1">
      <c r="D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 ht="12.75" customHeight="1">
      <c r="D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 ht="12.75" customHeight="1">
      <c r="D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 ht="12.75" customHeight="1">
      <c r="D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 ht="12.75" customHeight="1">
      <c r="D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 ht="12.75" customHeight="1">
      <c r="D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 ht="12.75" customHeight="1">
      <c r="D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 ht="12.75" customHeight="1">
      <c r="D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 ht="12.75" customHeight="1">
      <c r="D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 ht="12.75" customHeight="1">
      <c r="D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 ht="12.75" customHeight="1">
      <c r="D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 ht="12.75" customHeight="1">
      <c r="D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 ht="12.75" customHeight="1">
      <c r="D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 ht="12.75" customHeight="1">
      <c r="D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 ht="12.75" customHeight="1">
      <c r="D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 ht="12.75" customHeight="1">
      <c r="D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 ht="12.75" customHeight="1">
      <c r="D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 ht="12.75" customHeight="1">
      <c r="D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 ht="12.75" customHeight="1">
      <c r="D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 ht="12.75" customHeight="1">
      <c r="D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 ht="12.75" customHeight="1">
      <c r="D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 ht="12.75" customHeight="1">
      <c r="D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 ht="12.75" customHeight="1">
      <c r="D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 ht="12.75" customHeight="1">
      <c r="D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 ht="12.75" customHeight="1">
      <c r="D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 ht="12.75" customHeight="1">
      <c r="D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 ht="12.75" customHeight="1">
      <c r="D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 ht="12.75" customHeight="1">
      <c r="D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 ht="12.75" customHeight="1">
      <c r="D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 ht="12.75" customHeight="1">
      <c r="D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 ht="12.75" customHeight="1">
      <c r="D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 ht="12.75" customHeight="1">
      <c r="D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 ht="12.75" customHeight="1">
      <c r="D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 ht="12.75" customHeight="1">
      <c r="D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 ht="12.75" customHeight="1">
      <c r="D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 ht="12.75" customHeight="1">
      <c r="D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 ht="12.75" customHeight="1">
      <c r="D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 ht="12.75" customHeight="1">
      <c r="D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 ht="12.75" customHeight="1">
      <c r="D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 ht="12.75" customHeight="1">
      <c r="D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 ht="12.75" customHeight="1">
      <c r="D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 ht="12.75" customHeight="1">
      <c r="D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 ht="12.75" customHeight="1">
      <c r="D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 ht="12.75" customHeight="1">
      <c r="D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 ht="12.75" customHeight="1">
      <c r="D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 ht="12.75" customHeight="1">
      <c r="D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 ht="12.75" customHeight="1">
      <c r="D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 ht="12.75" customHeight="1">
      <c r="D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 ht="12.75" customHeight="1">
      <c r="D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 ht="12.75" customHeight="1">
      <c r="D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 ht="12.75" customHeight="1">
      <c r="D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 ht="12.75" customHeight="1">
      <c r="D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 ht="12.75" customHeight="1">
      <c r="D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 ht="12.75" customHeight="1">
      <c r="D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 ht="12.75" customHeight="1">
      <c r="D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 ht="12.75" customHeight="1">
      <c r="D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 ht="12.75" customHeight="1">
      <c r="D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 ht="12.75" customHeight="1">
      <c r="D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 ht="12.75" customHeight="1">
      <c r="D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 ht="12.75" customHeight="1">
      <c r="D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 ht="12.75" customHeight="1">
      <c r="D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 ht="12.75" customHeight="1">
      <c r="D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 ht="12.75" customHeight="1">
      <c r="D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 ht="12.75" customHeight="1">
      <c r="D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 ht="12.75" customHeight="1">
      <c r="D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 ht="12.75" customHeight="1">
      <c r="D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 ht="12.75" customHeight="1">
      <c r="D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 ht="12.75" customHeight="1">
      <c r="D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 ht="12.75" customHeight="1">
      <c r="D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 ht="12.75" customHeight="1">
      <c r="D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 ht="12.75" customHeight="1">
      <c r="D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 ht="12.75" customHeight="1">
      <c r="D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 ht="12.75" customHeight="1">
      <c r="D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 ht="12.75" customHeight="1">
      <c r="D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 ht="12.75" customHeight="1">
      <c r="D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 ht="12.75" customHeight="1">
      <c r="D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 ht="12.75" customHeight="1">
      <c r="D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 ht="12.75" customHeight="1">
      <c r="D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 ht="12.75" customHeight="1">
      <c r="D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 ht="12.75" customHeight="1">
      <c r="D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 ht="12.75" customHeight="1">
      <c r="D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 ht="12.75" customHeight="1">
      <c r="D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 ht="12.75" customHeight="1">
      <c r="D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 ht="12.75" customHeight="1">
      <c r="D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 ht="12.75" customHeight="1">
      <c r="D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 ht="12.75" customHeight="1">
      <c r="D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 ht="12.75" customHeight="1">
      <c r="D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 ht="12.75" customHeight="1">
      <c r="D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 ht="12.75" customHeight="1">
      <c r="D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 ht="12.75" customHeight="1">
      <c r="D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 ht="12.75" customHeight="1">
      <c r="D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 ht="12.75" customHeight="1">
      <c r="D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 ht="12.75" customHeight="1">
      <c r="D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 ht="12.75" customHeight="1">
      <c r="D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 ht="12.75" customHeight="1">
      <c r="D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 ht="12.75" customHeight="1">
      <c r="D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 ht="12.75" customHeight="1">
      <c r="D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 ht="12.75" customHeight="1">
      <c r="D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 ht="12.75" customHeight="1">
      <c r="D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 ht="12.75" customHeight="1">
      <c r="D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 ht="12.75" customHeight="1">
      <c r="D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 ht="12.75" customHeight="1">
      <c r="D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 ht="12.75" customHeight="1">
      <c r="D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 ht="12.75" customHeight="1">
      <c r="D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 ht="12.75" customHeight="1">
      <c r="D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 ht="12.75" customHeight="1">
      <c r="D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 ht="12.75" customHeight="1">
      <c r="D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 ht="12.75" customHeight="1">
      <c r="D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 ht="12.75" customHeight="1">
      <c r="D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 ht="12.75" customHeight="1">
      <c r="D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 ht="12.75" customHeight="1">
      <c r="D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 ht="12.75" customHeight="1">
      <c r="D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 ht="12.75" customHeight="1">
      <c r="D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 ht="12.75" customHeight="1">
      <c r="D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 ht="12.75" customHeight="1">
      <c r="D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 ht="12.75" customHeight="1">
      <c r="D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 ht="12.75" customHeight="1">
      <c r="D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 ht="12.75" customHeight="1">
      <c r="D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 ht="12.75" customHeight="1">
      <c r="D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 ht="12.75" customHeight="1">
      <c r="D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 ht="12.75" customHeight="1">
      <c r="D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 ht="12.75" customHeight="1">
      <c r="D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 ht="12.75" customHeight="1">
      <c r="D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 ht="12.75" customHeight="1">
      <c r="D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 ht="12.75" customHeight="1">
      <c r="D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 ht="12.75" customHeight="1">
      <c r="D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 ht="12.75" customHeight="1">
      <c r="D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 ht="12.75" customHeight="1">
      <c r="D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 ht="12.75" customHeight="1">
      <c r="D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 ht="12.75" customHeight="1">
      <c r="D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 ht="12.75" customHeight="1">
      <c r="D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 ht="12.75" customHeight="1">
      <c r="D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 ht="12.75" customHeight="1">
      <c r="D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 ht="12.75" customHeight="1">
      <c r="D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 ht="12.75" customHeight="1">
      <c r="D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 ht="12.75" customHeight="1">
      <c r="D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 ht="12.75" customHeight="1">
      <c r="D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 ht="12.75" customHeight="1">
      <c r="D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 ht="12.75" customHeight="1">
      <c r="D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 ht="12.75" customHeight="1">
      <c r="D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 ht="12.75" customHeight="1">
      <c r="D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 ht="12.75" customHeight="1">
      <c r="D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 ht="12.75" customHeight="1">
      <c r="D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 ht="12.75" customHeight="1">
      <c r="D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 ht="12.75" customHeight="1">
      <c r="D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 ht="12.75" customHeight="1">
      <c r="D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 ht="12.75" customHeight="1">
      <c r="D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 ht="12.75" customHeight="1">
      <c r="D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 ht="12.75" customHeight="1">
      <c r="D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 ht="12.75" customHeight="1">
      <c r="D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 ht="12.75" customHeight="1">
      <c r="D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 ht="12.75" customHeight="1">
      <c r="D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 ht="12.75" customHeight="1">
      <c r="D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 ht="12.75" customHeight="1">
      <c r="D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 ht="12.75" customHeight="1">
      <c r="D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 ht="12.75" customHeight="1">
      <c r="D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 ht="12.75" customHeight="1">
      <c r="D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 ht="12.75" customHeight="1">
      <c r="D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 ht="12.75" customHeight="1">
      <c r="D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 ht="12.75" customHeight="1">
      <c r="D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 ht="12.75" customHeight="1">
      <c r="D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 ht="12.75" customHeight="1">
      <c r="D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 ht="12.75" customHeight="1">
      <c r="D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 ht="12.75" customHeight="1">
      <c r="D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 ht="12.75" customHeight="1">
      <c r="D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 ht="12.75" customHeight="1">
      <c r="D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 ht="12.75" customHeight="1">
      <c r="D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 ht="12.75" customHeight="1">
      <c r="D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 ht="12.75" customHeight="1">
      <c r="D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 ht="12.75" customHeight="1">
      <c r="D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 ht="12.75" customHeight="1">
      <c r="D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 ht="12.75" customHeight="1">
      <c r="D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 ht="12.75" customHeight="1">
      <c r="D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 ht="12.75" customHeight="1">
      <c r="D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 ht="12.75" customHeight="1">
      <c r="D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 ht="12.75" customHeight="1">
      <c r="D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 ht="12.75" customHeight="1">
      <c r="D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 ht="12.75" customHeight="1">
      <c r="D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 ht="12.75" customHeight="1">
      <c r="D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 ht="12.75" customHeight="1">
      <c r="D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 ht="12.75" customHeight="1">
      <c r="D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 ht="12.75" customHeight="1">
      <c r="D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 ht="12.75" customHeight="1">
      <c r="D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 ht="12.75" customHeight="1">
      <c r="D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 ht="12.75" customHeight="1">
      <c r="D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 ht="12.75" customHeight="1">
      <c r="D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 ht="12.75" customHeight="1">
      <c r="D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 ht="12.75" customHeight="1">
      <c r="D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 ht="12.75" customHeight="1">
      <c r="D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 ht="12.75" customHeight="1">
      <c r="D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 ht="12.75" customHeight="1">
      <c r="D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 ht="12.75" customHeight="1">
      <c r="D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 ht="12.75" customHeight="1">
      <c r="D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 ht="12.75" customHeight="1">
      <c r="D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 ht="12.75" customHeight="1">
      <c r="D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 ht="12.75" customHeight="1">
      <c r="D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 ht="12.75" customHeight="1">
      <c r="D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 ht="12.75" customHeight="1">
      <c r="D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 ht="12.75" customHeight="1">
      <c r="D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 ht="12.75" customHeight="1">
      <c r="D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 ht="12.75" customHeight="1">
      <c r="D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 ht="12.75" customHeight="1">
      <c r="D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 ht="12.75" customHeight="1">
      <c r="D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 ht="12.75" customHeight="1">
      <c r="D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 ht="12.75" customHeight="1">
      <c r="D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 ht="12.75" customHeight="1">
      <c r="D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 ht="12.75" customHeight="1">
      <c r="D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 ht="12.75" customHeight="1">
      <c r="D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 ht="12.75" customHeight="1">
      <c r="D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 ht="12.75" customHeight="1">
      <c r="D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 ht="12.75" customHeight="1">
      <c r="D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 ht="12.75" customHeight="1">
      <c r="D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 ht="12.75" customHeight="1">
      <c r="D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 ht="12.75" customHeight="1">
      <c r="D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 ht="12.75" customHeight="1">
      <c r="D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 ht="12.75" customHeight="1">
      <c r="D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 ht="12.75" customHeight="1">
      <c r="D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 ht="12.75" customHeight="1">
      <c r="D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 ht="12.75" customHeight="1">
      <c r="D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 ht="12.75" customHeight="1">
      <c r="D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 ht="12.75" customHeight="1">
      <c r="D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 ht="12.75" customHeight="1">
      <c r="D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 ht="12.75" customHeight="1">
      <c r="D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 ht="12.75" customHeight="1">
      <c r="D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 ht="12.75" customHeight="1">
      <c r="D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 ht="12.75" customHeight="1">
      <c r="D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 ht="12.75" customHeight="1">
      <c r="D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 ht="12.75" customHeight="1">
      <c r="D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 ht="12.75" customHeight="1">
      <c r="D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 ht="12.75" customHeight="1">
      <c r="D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 ht="12.75" customHeight="1">
      <c r="D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 ht="12.75" customHeight="1">
      <c r="D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 ht="12.75" customHeight="1">
      <c r="D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 ht="12.75" customHeight="1">
      <c r="D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 ht="12.75" customHeight="1">
      <c r="D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 ht="12.75" customHeight="1">
      <c r="D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 ht="12.75" customHeight="1">
      <c r="D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 ht="12.75" customHeight="1">
      <c r="D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 ht="12.75" customHeight="1">
      <c r="D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 ht="12.75" customHeight="1">
      <c r="D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 ht="12.75" customHeight="1">
      <c r="D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 ht="12.75" customHeight="1">
      <c r="D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 ht="12.75" customHeight="1">
      <c r="D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 ht="12.75" customHeight="1">
      <c r="D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 ht="12.75" customHeight="1">
      <c r="D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 ht="12.75" customHeight="1">
      <c r="D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 ht="12.75" customHeight="1">
      <c r="D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 ht="12.75" customHeight="1">
      <c r="D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 ht="12.75" customHeight="1">
      <c r="D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 ht="12.75" customHeight="1">
      <c r="D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 ht="12.75" customHeight="1">
      <c r="D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 ht="12.75" customHeight="1">
      <c r="D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 ht="12.75" customHeight="1">
      <c r="D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 ht="12.75" customHeight="1">
      <c r="D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 ht="12.75" customHeight="1">
      <c r="D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 ht="12.75" customHeight="1">
      <c r="D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 ht="12.75" customHeight="1">
      <c r="D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 ht="12.75" customHeight="1">
      <c r="D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 ht="12.75" customHeight="1">
      <c r="D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 ht="12.75" customHeight="1">
      <c r="D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 ht="12.75" customHeight="1">
      <c r="D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 ht="12.75" customHeight="1">
      <c r="D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 ht="12.75" customHeight="1">
      <c r="D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 ht="12.75" customHeight="1">
      <c r="D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 ht="12.75" customHeight="1">
      <c r="D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 ht="12.75" customHeight="1">
      <c r="D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 ht="12.75" customHeight="1">
      <c r="D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 ht="12.75" customHeight="1">
      <c r="D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 ht="12.75" customHeight="1">
      <c r="D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 ht="12.75" customHeight="1">
      <c r="D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 ht="12.75" customHeight="1">
      <c r="D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 ht="12.75" customHeight="1">
      <c r="D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 ht="12.75" customHeight="1">
      <c r="D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 ht="12.75" customHeight="1">
      <c r="D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 ht="12.75" customHeight="1">
      <c r="D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 ht="12.75" customHeight="1">
      <c r="D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 ht="12.75" customHeight="1">
      <c r="D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 ht="12.75" customHeight="1">
      <c r="D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 ht="12.75" customHeight="1">
      <c r="D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 ht="12.75" customHeight="1">
      <c r="D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 ht="12.75" customHeight="1">
      <c r="D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 ht="12.75" customHeight="1">
      <c r="D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 ht="12.75" customHeight="1">
      <c r="D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 ht="12.75" customHeight="1">
      <c r="D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 ht="12.75" customHeight="1">
      <c r="D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 ht="12.75" customHeight="1">
      <c r="D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 ht="12.75" customHeight="1">
      <c r="D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 ht="12.75" customHeight="1">
      <c r="D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 ht="12.75" customHeight="1">
      <c r="D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 ht="12.75" customHeight="1">
      <c r="D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 ht="12.75" customHeight="1">
      <c r="D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 ht="12.75" customHeight="1">
      <c r="D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 ht="12.75" customHeight="1">
      <c r="D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 ht="12.75" customHeight="1">
      <c r="D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 ht="12.75" customHeight="1">
      <c r="D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 ht="12.75" customHeight="1">
      <c r="D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 ht="12.75" customHeight="1">
      <c r="D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 ht="12.75" customHeight="1">
      <c r="D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 ht="12.75" customHeight="1">
      <c r="D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 ht="12.75" customHeight="1">
      <c r="D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 ht="12.75" customHeight="1">
      <c r="D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 ht="12.75" customHeight="1">
      <c r="D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 ht="12.75" customHeight="1">
      <c r="D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 ht="12.75" customHeight="1">
      <c r="D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 ht="12.75" customHeight="1">
      <c r="D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 ht="12.75" customHeight="1">
      <c r="D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 ht="12.75" customHeight="1">
      <c r="D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 ht="12.75" customHeight="1">
      <c r="D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 ht="12.75" customHeight="1">
      <c r="D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 ht="12.75" customHeight="1">
      <c r="D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 ht="12.75" customHeight="1">
      <c r="D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 ht="12.75" customHeight="1">
      <c r="D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 ht="12.75" customHeight="1">
      <c r="D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 ht="12.75" customHeight="1">
      <c r="D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 ht="12.75" customHeight="1">
      <c r="D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 ht="12.75" customHeight="1">
      <c r="D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 ht="12.75" customHeight="1">
      <c r="D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 ht="12.75" customHeight="1">
      <c r="D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 ht="12.75" customHeight="1">
      <c r="D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 ht="12.75" customHeight="1">
      <c r="D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 ht="12.75" customHeight="1">
      <c r="D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 ht="12.75" customHeight="1">
      <c r="D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 ht="12.75" customHeight="1">
      <c r="D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 ht="12.75" customHeight="1">
      <c r="D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 ht="12.75" customHeight="1">
      <c r="D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 ht="12.75" customHeight="1">
      <c r="D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 ht="12.75" customHeight="1">
      <c r="D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 ht="12.75" customHeight="1">
      <c r="D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 ht="12.75" customHeight="1">
      <c r="D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 ht="12.75" customHeight="1">
      <c r="D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 ht="12.75" customHeight="1">
      <c r="D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 ht="12.75" customHeight="1">
      <c r="D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 ht="12.75" customHeight="1">
      <c r="D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 ht="12.75" customHeight="1">
      <c r="D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 ht="12.75" customHeight="1">
      <c r="D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 ht="12.75" customHeight="1">
      <c r="D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 ht="12.75" customHeight="1">
      <c r="D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 ht="12.75" customHeight="1">
      <c r="D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 ht="12.75" customHeight="1">
      <c r="D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 ht="12.75" customHeight="1">
      <c r="D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 ht="12.75" customHeight="1">
      <c r="D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 ht="12.75" customHeight="1">
      <c r="D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 ht="12.75" customHeight="1">
      <c r="D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 ht="12.75" customHeight="1">
      <c r="D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 ht="12.75" customHeight="1">
      <c r="D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 ht="12.75" customHeight="1">
      <c r="D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 ht="12.75" customHeight="1">
      <c r="D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 ht="12.75" customHeight="1">
      <c r="D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 ht="12.75" customHeight="1">
      <c r="D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 ht="12.75" customHeight="1">
      <c r="D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 ht="12.75" customHeight="1">
      <c r="D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 ht="12.75" customHeight="1">
      <c r="D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 ht="12.75" customHeight="1">
      <c r="D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 ht="12.75" customHeight="1">
      <c r="D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 ht="12.75" customHeight="1">
      <c r="D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 ht="12.75" customHeight="1">
      <c r="D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 ht="12.75" customHeight="1">
      <c r="D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 ht="12.75" customHeight="1">
      <c r="D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 ht="12.75" customHeight="1">
      <c r="D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 ht="12.75" customHeight="1">
      <c r="D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 ht="12.75" customHeight="1">
      <c r="D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 ht="12.75" customHeight="1">
      <c r="D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 ht="12.75" customHeight="1">
      <c r="D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 ht="12.75" customHeight="1">
      <c r="D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 ht="12.75" customHeight="1">
      <c r="D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 ht="12.75" customHeight="1">
      <c r="D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 ht="12.75" customHeight="1">
      <c r="D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 ht="12.75" customHeight="1">
      <c r="D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 ht="12.75" customHeight="1">
      <c r="D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 ht="12.75" customHeight="1">
      <c r="D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 ht="12.75" customHeight="1">
      <c r="D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 ht="12.75" customHeight="1">
      <c r="D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 ht="12.75" customHeight="1">
      <c r="D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 ht="12.75" customHeight="1">
      <c r="D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 ht="12.75" customHeight="1">
      <c r="D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 ht="12.75" customHeight="1">
      <c r="D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 ht="12.75" customHeight="1">
      <c r="D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 ht="12.75" customHeight="1">
      <c r="D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 ht="12.75" customHeight="1">
      <c r="D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 ht="12.75" customHeight="1">
      <c r="D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 ht="12.75" customHeight="1">
      <c r="D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 ht="12.75" customHeight="1">
      <c r="D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 ht="12.75" customHeight="1">
      <c r="D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 ht="12.75" customHeight="1">
      <c r="D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 ht="12.75" customHeight="1">
      <c r="D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 ht="12.75" customHeight="1">
      <c r="D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 ht="12.75" customHeight="1">
      <c r="D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 ht="12.75" customHeight="1">
      <c r="D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 ht="12.75" customHeight="1">
      <c r="D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 ht="12.75" customHeight="1">
      <c r="D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 ht="12.75" customHeight="1">
      <c r="D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 ht="12.75" customHeight="1">
      <c r="D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 ht="12.75" customHeight="1">
      <c r="D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 ht="12.75" customHeight="1">
      <c r="D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 ht="12.75" customHeight="1">
      <c r="D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 ht="12.75" customHeight="1">
      <c r="D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 ht="12.75" customHeight="1">
      <c r="D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 ht="12.75" customHeight="1">
      <c r="D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 ht="12.75" customHeight="1">
      <c r="D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 ht="12.75" customHeight="1">
      <c r="D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 ht="12.75" customHeight="1">
      <c r="D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 ht="12.75" customHeight="1">
      <c r="D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 ht="12.75" customHeight="1">
      <c r="D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 ht="12.75" customHeight="1">
      <c r="D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 ht="12.75" customHeight="1">
      <c r="D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 ht="12.75" customHeight="1">
      <c r="D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 ht="12.75" customHeight="1">
      <c r="D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 ht="12.75" customHeight="1">
      <c r="D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 ht="12.75" customHeight="1">
      <c r="D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 ht="12.75" customHeight="1">
      <c r="D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 ht="12.75" customHeight="1">
      <c r="D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 ht="12.75" customHeight="1">
      <c r="D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 ht="12.75" customHeight="1">
      <c r="D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 ht="12.75" customHeight="1">
      <c r="D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 ht="12.75" customHeight="1">
      <c r="D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 ht="12.75" customHeight="1">
      <c r="D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 ht="12.75" customHeight="1">
      <c r="D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 ht="12.75" customHeight="1">
      <c r="D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 ht="12.75" customHeight="1">
      <c r="D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 ht="12.75" customHeight="1">
      <c r="D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 ht="12.75" customHeight="1">
      <c r="D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 ht="12.75" customHeight="1">
      <c r="D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 ht="12.75" customHeight="1">
      <c r="D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 ht="12.75" customHeight="1">
      <c r="D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 ht="12.75" customHeight="1">
      <c r="D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 ht="12.75" customHeight="1">
      <c r="D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 ht="12.75" customHeight="1">
      <c r="D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 ht="12.75" customHeight="1">
      <c r="D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 ht="12.75" customHeight="1">
      <c r="D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 ht="12.75" customHeight="1">
      <c r="D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 ht="12.75" customHeight="1">
      <c r="D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 ht="12.75" customHeight="1">
      <c r="D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 ht="12.75" customHeight="1">
      <c r="D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 ht="12.75" customHeight="1">
      <c r="D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 ht="12.75" customHeight="1">
      <c r="D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 ht="12.75" customHeight="1">
      <c r="D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 ht="12.75" customHeight="1">
      <c r="D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 ht="12.75" customHeight="1">
      <c r="D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 ht="12.75" customHeight="1">
      <c r="D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 ht="12.75" customHeight="1">
      <c r="D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 ht="12.75" customHeight="1">
      <c r="D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 ht="12.75" customHeight="1">
      <c r="D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 ht="12.75" customHeight="1">
      <c r="D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 ht="12.75" customHeight="1">
      <c r="D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 ht="12.75" customHeight="1">
      <c r="D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 ht="12.75" customHeight="1">
      <c r="D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 ht="12.75" customHeight="1">
      <c r="D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 ht="12.75" customHeight="1">
      <c r="D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 ht="12.75" customHeight="1">
      <c r="D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 ht="12.75" customHeight="1">
      <c r="D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 ht="12.75" customHeight="1">
      <c r="D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 ht="12.75" customHeight="1">
      <c r="D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 ht="12.75" customHeight="1">
      <c r="D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 ht="12.75" customHeight="1">
      <c r="D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 ht="12.75" customHeight="1">
      <c r="D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 ht="12.75" customHeight="1">
      <c r="D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 ht="12.75" customHeight="1">
      <c r="D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 ht="12.75" customHeight="1">
      <c r="D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 ht="12.75" customHeight="1">
      <c r="D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 ht="12.75" customHeight="1">
      <c r="D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 ht="12.75" customHeight="1">
      <c r="D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 ht="12.75" customHeight="1">
      <c r="D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 ht="12.75" customHeight="1">
      <c r="D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 ht="12.75" customHeight="1">
      <c r="D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 ht="12.75" customHeight="1">
      <c r="D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 ht="12.75" customHeight="1">
      <c r="D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 ht="12.75" customHeight="1">
      <c r="D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 ht="12.75" customHeight="1">
      <c r="D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 ht="12.75" customHeight="1">
      <c r="D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 ht="12.75" customHeight="1">
      <c r="D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 ht="12.75" customHeight="1">
      <c r="D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 ht="12.75" customHeight="1">
      <c r="D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 ht="12.75" customHeight="1">
      <c r="D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 ht="12.75" customHeight="1">
      <c r="D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 ht="12.75" customHeight="1">
      <c r="D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 ht="12.75" customHeight="1">
      <c r="D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 ht="12.75" customHeight="1">
      <c r="D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 ht="12.75" customHeight="1">
      <c r="D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 ht="12.75" customHeight="1">
      <c r="D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 ht="12.75" customHeight="1">
      <c r="D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 ht="12.75" customHeight="1">
      <c r="D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 ht="12.75" customHeight="1">
      <c r="D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 ht="12.75" customHeight="1">
      <c r="D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</row>
    <row r="839" ht="12.75" customHeight="1">
      <c r="D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 ht="12.75" customHeight="1">
      <c r="D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 ht="12.75" customHeight="1">
      <c r="D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 ht="12.75" customHeight="1">
      <c r="D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 ht="12.75" customHeight="1">
      <c r="D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 ht="12.75" customHeight="1">
      <c r="D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 ht="12.75" customHeight="1">
      <c r="D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 ht="12.75" customHeight="1">
      <c r="D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 ht="12.75" customHeight="1">
      <c r="D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 ht="12.75" customHeight="1">
      <c r="D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 ht="12.75" customHeight="1">
      <c r="D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 ht="12.75" customHeight="1">
      <c r="D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 ht="12.75" customHeight="1">
      <c r="D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 ht="12.75" customHeight="1">
      <c r="D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 ht="12.75" customHeight="1">
      <c r="D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 ht="12.75" customHeight="1">
      <c r="D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 ht="12.75" customHeight="1">
      <c r="D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 ht="12.75" customHeight="1">
      <c r="D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 ht="12.75" customHeight="1">
      <c r="D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 ht="12.75" customHeight="1">
      <c r="D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 ht="12.75" customHeight="1">
      <c r="D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 ht="12.75" customHeight="1">
      <c r="D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 ht="12.75" customHeight="1">
      <c r="D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 ht="12.75" customHeight="1">
      <c r="D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 ht="12.75" customHeight="1">
      <c r="D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 ht="12.75" customHeight="1">
      <c r="D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 ht="12.75" customHeight="1">
      <c r="D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 ht="12.75" customHeight="1">
      <c r="D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 ht="12.75" customHeight="1">
      <c r="D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 ht="12.75" customHeight="1">
      <c r="D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 ht="12.75" customHeight="1">
      <c r="D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 ht="12.75" customHeight="1">
      <c r="D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</row>
    <row r="871" ht="12.75" customHeight="1">
      <c r="D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</row>
    <row r="872" ht="12.75" customHeight="1">
      <c r="D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 ht="12.75" customHeight="1">
      <c r="D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 ht="12.75" customHeight="1">
      <c r="D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</row>
    <row r="875" ht="12.75" customHeight="1">
      <c r="D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 ht="12.75" customHeight="1">
      <c r="D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</row>
    <row r="877" ht="12.75" customHeight="1">
      <c r="D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</row>
    <row r="878" ht="12.75" customHeight="1">
      <c r="D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 ht="12.75" customHeight="1">
      <c r="D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 ht="12.75" customHeight="1">
      <c r="D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</row>
    <row r="881" ht="12.75" customHeight="1">
      <c r="D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 ht="12.75" customHeight="1">
      <c r="D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</row>
    <row r="883" ht="12.75" customHeight="1">
      <c r="D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</row>
    <row r="884" ht="12.75" customHeight="1">
      <c r="D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</row>
    <row r="885" ht="12.75" customHeight="1">
      <c r="D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</row>
    <row r="886" ht="12.75" customHeight="1">
      <c r="D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 ht="12.75" customHeight="1">
      <c r="D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</row>
    <row r="888" ht="12.75" customHeight="1">
      <c r="D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 ht="12.75" customHeight="1">
      <c r="D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</row>
    <row r="890" ht="12.75" customHeight="1">
      <c r="D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 ht="12.75" customHeight="1">
      <c r="D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</row>
    <row r="892" ht="12.75" customHeight="1">
      <c r="D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 ht="12.75" customHeight="1">
      <c r="D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</row>
    <row r="894" ht="12.75" customHeight="1">
      <c r="D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</row>
    <row r="895" ht="12.75" customHeight="1">
      <c r="D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 ht="12.75" customHeight="1">
      <c r="D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</row>
    <row r="897" ht="12.75" customHeight="1">
      <c r="D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 ht="12.75" customHeight="1">
      <c r="D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</row>
    <row r="899" ht="12.75" customHeight="1">
      <c r="D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</row>
    <row r="900" ht="12.75" customHeight="1">
      <c r="D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</row>
    <row r="901" ht="12.75" customHeight="1">
      <c r="D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</row>
    <row r="902" ht="12.75" customHeight="1">
      <c r="D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 ht="12.75" customHeight="1">
      <c r="D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 ht="12.75" customHeight="1">
      <c r="D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 ht="12.75" customHeight="1">
      <c r="D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  <row r="906" ht="12.75" customHeight="1">
      <c r="D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</row>
    <row r="907" ht="12.75" customHeight="1">
      <c r="D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</row>
    <row r="908" ht="12.75" customHeight="1">
      <c r="D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</row>
    <row r="909" ht="12.75" customHeight="1">
      <c r="D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</row>
    <row r="910" ht="12.75" customHeight="1">
      <c r="D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</row>
    <row r="911" ht="12.75" customHeight="1">
      <c r="D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</row>
    <row r="912" ht="12.75" customHeight="1">
      <c r="D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</row>
    <row r="913" ht="12.75" customHeight="1">
      <c r="D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</row>
    <row r="914" ht="12.75" customHeight="1">
      <c r="D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</row>
    <row r="915" ht="12.75" customHeight="1">
      <c r="D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</row>
    <row r="916" ht="12.75" customHeight="1">
      <c r="D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</row>
    <row r="917" ht="12.75" customHeight="1">
      <c r="D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</row>
    <row r="918" ht="12.75" customHeight="1">
      <c r="D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</row>
    <row r="919" ht="12.75" customHeight="1">
      <c r="D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</row>
    <row r="920" ht="12.75" customHeight="1">
      <c r="D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</row>
    <row r="921" ht="12.75" customHeight="1">
      <c r="D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</row>
    <row r="922" ht="12.75" customHeight="1">
      <c r="D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</row>
    <row r="923" ht="12.75" customHeight="1">
      <c r="D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</row>
    <row r="924" ht="12.75" customHeight="1">
      <c r="D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</row>
    <row r="925" ht="12.75" customHeight="1">
      <c r="D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</row>
    <row r="926" ht="12.75" customHeight="1">
      <c r="D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</row>
    <row r="927" ht="12.75" customHeight="1">
      <c r="D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</row>
    <row r="928" ht="12.75" customHeight="1">
      <c r="D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</row>
    <row r="929" ht="12.75" customHeight="1">
      <c r="D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</row>
    <row r="930" ht="12.75" customHeight="1">
      <c r="D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</row>
    <row r="931" ht="12.75" customHeight="1">
      <c r="D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</row>
    <row r="932" ht="12.75" customHeight="1">
      <c r="D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</row>
    <row r="933" ht="12.75" customHeight="1">
      <c r="D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</row>
    <row r="934" ht="12.75" customHeight="1">
      <c r="D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</row>
    <row r="935" ht="12.75" customHeight="1">
      <c r="D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</row>
    <row r="936" ht="12.75" customHeight="1">
      <c r="D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</row>
    <row r="937" ht="12.75" customHeight="1">
      <c r="D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</row>
    <row r="938" ht="12.75" customHeight="1">
      <c r="D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</row>
    <row r="939" ht="12.75" customHeight="1">
      <c r="D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</row>
    <row r="940" ht="12.75" customHeight="1">
      <c r="D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</row>
    <row r="941" ht="12.75" customHeight="1">
      <c r="D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</row>
    <row r="942" ht="12.75" customHeight="1">
      <c r="D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</row>
    <row r="943" ht="12.75" customHeight="1">
      <c r="D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</row>
    <row r="944" ht="12.75" customHeight="1">
      <c r="D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</row>
    <row r="945" ht="12.75" customHeight="1">
      <c r="D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</row>
    <row r="946" ht="12.75" customHeight="1">
      <c r="D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</row>
    <row r="947" ht="12.75" customHeight="1">
      <c r="D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</row>
    <row r="948" ht="12.75" customHeight="1">
      <c r="D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</row>
    <row r="949" ht="12.75" customHeight="1">
      <c r="D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</row>
    <row r="950" ht="12.75" customHeight="1">
      <c r="D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</row>
    <row r="951" ht="12.75" customHeight="1">
      <c r="D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</row>
    <row r="952" ht="12.75" customHeight="1">
      <c r="D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</row>
    <row r="953" ht="12.75" customHeight="1">
      <c r="D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</row>
    <row r="954" ht="12.75" customHeight="1">
      <c r="D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</row>
    <row r="955" ht="12.75" customHeight="1">
      <c r="D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</row>
    <row r="956" ht="12.75" customHeight="1">
      <c r="D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</row>
    <row r="957" ht="12.75" customHeight="1">
      <c r="D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</row>
    <row r="958" ht="12.75" customHeight="1">
      <c r="D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</row>
    <row r="959" ht="12.75" customHeight="1">
      <c r="D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</row>
    <row r="960" ht="12.75" customHeight="1">
      <c r="D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</row>
    <row r="961" ht="12.75" customHeight="1">
      <c r="D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</row>
    <row r="962" ht="12.75" customHeight="1">
      <c r="D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</row>
    <row r="963" ht="12.75" customHeight="1">
      <c r="D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</row>
    <row r="964" ht="12.75" customHeight="1">
      <c r="D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</row>
    <row r="965" ht="12.75" customHeight="1">
      <c r="D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</row>
    <row r="966" ht="12.75" customHeight="1">
      <c r="D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</row>
    <row r="967" ht="12.75" customHeight="1">
      <c r="D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</row>
    <row r="968" ht="12.75" customHeight="1">
      <c r="D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</row>
    <row r="969" ht="12.75" customHeight="1">
      <c r="D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</row>
    <row r="970" ht="12.75" customHeight="1">
      <c r="D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</row>
    <row r="971" ht="12.75" customHeight="1">
      <c r="D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</row>
    <row r="972" ht="12.75" customHeight="1">
      <c r="D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</row>
    <row r="973" ht="12.75" customHeight="1">
      <c r="D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</row>
    <row r="974" ht="12.75" customHeight="1">
      <c r="D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</row>
    <row r="975" ht="12.75" customHeight="1">
      <c r="D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</row>
    <row r="976" ht="12.75" customHeight="1">
      <c r="D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</row>
    <row r="977" ht="12.75" customHeight="1">
      <c r="D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</row>
    <row r="978" ht="12.75" customHeight="1">
      <c r="D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</row>
    <row r="979" ht="12.75" customHeight="1">
      <c r="D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</row>
    <row r="980" ht="12.75" customHeight="1">
      <c r="D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</row>
    <row r="981" ht="12.75" customHeight="1">
      <c r="D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</row>
    <row r="982" ht="12.75" customHeight="1">
      <c r="D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</row>
    <row r="983" ht="12.75" customHeight="1">
      <c r="D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</row>
    <row r="984" ht="12.75" customHeight="1">
      <c r="D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</row>
    <row r="985" ht="12.75" customHeight="1">
      <c r="D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</row>
    <row r="986" ht="12.75" customHeight="1">
      <c r="D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</row>
    <row r="987" ht="12.75" customHeight="1">
      <c r="D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</row>
    <row r="988" ht="12.75" customHeight="1">
      <c r="D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</row>
    <row r="989" ht="12.75" customHeight="1">
      <c r="D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</row>
    <row r="990" ht="12.75" customHeight="1">
      <c r="D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</row>
    <row r="991" ht="12.75" customHeight="1">
      <c r="D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</row>
    <row r="992" ht="12.75" customHeight="1">
      <c r="D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</row>
    <row r="993" ht="12.75" customHeight="1">
      <c r="D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</row>
    <row r="994" ht="12.75" customHeight="1">
      <c r="D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</row>
    <row r="995" ht="12.75" customHeight="1">
      <c r="D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</row>
    <row r="996" ht="12.75" customHeight="1">
      <c r="D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</row>
    <row r="997" ht="12.75" customHeight="1">
      <c r="D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</row>
    <row r="998" ht="12.75" customHeight="1">
      <c r="D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</row>
    <row r="999" ht="12.75" customHeight="1">
      <c r="D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</row>
    <row r="1000" ht="12.75" customHeight="1">
      <c r="D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</row>
  </sheetData>
  <mergeCells count="3">
    <mergeCell ref="D3:H3"/>
    <mergeCell ref="D4:H4"/>
    <mergeCell ref="D5:H5"/>
  </mergeCells>
  <conditionalFormatting sqref="E22:E65 L22:AF65 C25:D65 F25:F67 G25:K65">
    <cfRule type="expression" dxfId="0" priority="1" stopIfTrue="1">
      <formula>$F18="Done"</formula>
    </cfRule>
  </conditionalFormatting>
  <conditionalFormatting sqref="E22:E65 L22:AF65 C25:D65 F25:F67 G25:K65">
    <cfRule type="expression" dxfId="1" priority="2" stopIfTrue="1">
      <formula>$F18="Ongoing"</formula>
    </cfRule>
  </conditionalFormatting>
  <conditionalFormatting sqref="B22:E65 F22:F67 G22:AF65">
    <cfRule type="expression" dxfId="0" priority="3" stopIfTrue="1">
      <formula>$F22="Terminado"</formula>
    </cfRule>
  </conditionalFormatting>
  <conditionalFormatting sqref="B22:E65 F22:F67 G22:AF65">
    <cfRule type="expression" dxfId="1" priority="4" stopIfTrue="1">
      <formula>$F22="En Progreso"</formula>
    </cfRule>
  </conditionalFormatting>
  <dataValidations>
    <dataValidation type="list" allowBlank="1" sqref="F10:F15 F22:F71">
      <formula1>"Por Hacer,En Progreso,Terminado"</formula1>
    </dataValidation>
  </dataValidation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1998-06-05T11:20:44Z</dcterms:created>
  <dc:creator>&lt; Your name &gt;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_dlc_DocId">
    <vt:lpwstr>FWJASSSE55TN-275-110</vt:lpwstr>
  </property>
  <property fmtid="{D5CDD505-2E9C-101B-9397-08002B2CF9AE}" pid="4" name="_dlc_DocIdItemGuid">
    <vt:lpwstr>26871ea7-f764-4995-b5ea-d05096b306c2</vt:lpwstr>
  </property>
  <property fmtid="{D5CDD505-2E9C-101B-9397-08002B2CF9AE}" pid="5" name="_dlc_DocIdUrl">
    <vt:lpwstr>https://portal.smrey.net/areas/it/_layouts/15/DocIdRedir.aspx?ID=FWJASSSE55TN-275-110, FWJASSSE55TN-275-110</vt:lpwstr>
  </property>
</Properties>
</file>